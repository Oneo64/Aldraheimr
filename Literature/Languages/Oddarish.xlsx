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Nouns" sheetId="2" r:id="rId5"/>
    <sheet state="visible" name="Verbs" sheetId="3" r:id="rId6"/>
    <sheet state="visible" name="Adjadv" sheetId="4" r:id="rId7"/>
    <sheet state="visible" name="Grammar" sheetId="5" r:id="rId8"/>
    <sheet state="visible" name="Pronunciation" sheetId="6" r:id="rId9"/>
  </sheets>
  <definedNames>
    <definedName hidden="1" localSheetId="0" name="_xlnm._FilterDatabase">Lexicon!$A$1:$B$1885</definedName>
  </definedNames>
  <calcPr/>
</workbook>
</file>

<file path=xl/sharedStrings.xml><?xml version="1.0" encoding="utf-8"?>
<sst xmlns="http://schemas.openxmlformats.org/spreadsheetml/2006/main" count="4592" uniqueCount="4297">
  <si>
    <t>Word</t>
  </si>
  <si>
    <t>Definition</t>
  </si>
  <si>
    <t>-laust</t>
  </si>
  <si>
    <t>without suffix</t>
  </si>
  <si>
    <t>Search:</t>
  </si>
  <si>
    <t>to take</t>
  </si>
  <si>
    <t>-ligt</t>
  </si>
  <si>
    <t>to be like</t>
  </si>
  <si>
    <t>-nir, -ingi, -tari, -jari</t>
  </si>
  <si>
    <t>one like in 'great one', 'old one', 'fiery one'; kin, like in owlkin | check this word out: önn</t>
  </si>
  <si>
    <t>-þungr, -liska</t>
  </si>
  <si>
    <t>language suffix</t>
  </si>
  <si>
    <t>á</t>
  </si>
  <si>
    <t>of something, of someone (preposition)</t>
  </si>
  <si>
    <t>á til</t>
  </si>
  <si>
    <t>should (auxiliary) | question form: á til þú</t>
  </si>
  <si>
    <t>abban</t>
  </si>
  <si>
    <t>stomach/bowel; belly</t>
  </si>
  <si>
    <t>abban-tyð</t>
  </si>
  <si>
    <t>stomach ache</t>
  </si>
  <si>
    <t>aða</t>
  </si>
  <si>
    <t>sea shell, or a snail, mollusk, clam, oyster, or mussel shell</t>
  </si>
  <si>
    <t>æ</t>
  </si>
  <si>
    <t>ow, hurts (injection)</t>
  </si>
  <si>
    <t>æðr</t>
  </si>
  <si>
    <t>entrails, bowels; internal organs</t>
  </si>
  <si>
    <t>æfi</t>
  </si>
  <si>
    <t>ivy</t>
  </si>
  <si>
    <t>æka</t>
  </si>
  <si>
    <t>to claim, loot, or take; to make one's own; to take for themself</t>
  </si>
  <si>
    <t>ækin-kóna</t>
  </si>
  <si>
    <t>wife</t>
  </si>
  <si>
    <t>ækin-maðr</t>
  </si>
  <si>
    <t>husband</t>
  </si>
  <si>
    <t>ællíkr</t>
  </si>
  <si>
    <t>elk</t>
  </si>
  <si>
    <t>æma</t>
  </si>
  <si>
    <t>to mimick or copy; to imitate</t>
  </si>
  <si>
    <t>æming</t>
  </si>
  <si>
    <t>a trend; something that is common, especially a trait</t>
  </si>
  <si>
    <t>ænn</t>
  </si>
  <si>
    <t>but, still, yet (conjuction); to be still doing (adjective, adverb)</t>
  </si>
  <si>
    <t>ænn-til</t>
  </si>
  <si>
    <t>until (conjunction)</t>
  </si>
  <si>
    <t>ænnun</t>
  </si>
  <si>
    <t>than, compared to (conjuction)</t>
  </si>
  <si>
    <t>æpan</t>
  </si>
  <si>
    <t>the top, peak, summit, limit, or highest point (noun)</t>
  </si>
  <si>
    <t>æpir</t>
  </si>
  <si>
    <t>over, above (preposition); across, as in across the river or ocean (preposition)</t>
  </si>
  <si>
    <t>æpir-jafa</t>
  </si>
  <si>
    <t>to abandon, to evacuate to desert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</si>
  <si>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</si>
  <si>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</si>
  <si>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</si>
  <si>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</si>
  <si>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</si>
  <si>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</si>
  <si>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</si>
  <si>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</si>
  <si>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</si>
  <si>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</si>
  <si>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áf</t>
  </si>
  <si>
    <t>overbearing, overwhelming (adjective, adverb)</t>
  </si>
  <si>
    <t>áf-gærr</t>
  </si>
  <si>
    <t>extraordinary, not normal, abnormal (adjective)</t>
  </si>
  <si>
    <t>af-geið</t>
  </si>
  <si>
    <t>an understatement, misname</t>
  </si>
  <si>
    <t>áf-kvíla</t>
  </si>
  <si>
    <t>to overly fill, or to overflow</t>
  </si>
  <si>
    <t>áf-lofa</t>
  </si>
  <si>
    <t>to flirt</t>
  </si>
  <si>
    <t>áf-mákar</t>
  </si>
  <si>
    <t>too much, too many (adjective)</t>
  </si>
  <si>
    <t>af-stogva</t>
  </si>
  <si>
    <t>to miss a strike</t>
  </si>
  <si>
    <t>áf-útanda</t>
  </si>
  <si>
    <t>to sigh</t>
  </si>
  <si>
    <t>áf-vilja</t>
  </si>
  <si>
    <t>willing to, wanting to, wishing to (auxiliary)</t>
  </si>
  <si>
    <t>áf-þröng</t>
  </si>
  <si>
    <t>a horde, a large crowd</t>
  </si>
  <si>
    <t>aftók</t>
  </si>
  <si>
    <t>an execution, as in death sentence</t>
  </si>
  <si>
    <t>afu-vita</t>
  </si>
  <si>
    <t>to misunderstand or misheard</t>
  </si>
  <si>
    <t>afund</t>
  </si>
  <si>
    <t>envy</t>
  </si>
  <si>
    <t>agg</t>
  </si>
  <si>
    <t>a conflict, often an argument or quarrelling; strife</t>
  </si>
  <si>
    <t>aggva</t>
  </si>
  <si>
    <t>to provoke, aggravate, or aggro</t>
  </si>
  <si>
    <t>akka</t>
  </si>
  <si>
    <t>shaft, pole, stick; wooden part of an arrow or spear</t>
  </si>
  <si>
    <t>ákr</t>
  </si>
  <si>
    <t>acre</t>
  </si>
  <si>
    <t>al-maðar</t>
  </si>
  <si>
    <t>everyone</t>
  </si>
  <si>
    <t>al-mel</t>
  </si>
  <si>
    <t>always, everytime (adverb)</t>
  </si>
  <si>
    <t>ála</t>
  </si>
  <si>
    <t>river, stream</t>
  </si>
  <si>
    <t>aldask</t>
  </si>
  <si>
    <t>to grow; to become old; to raise an animal or person</t>
  </si>
  <si>
    <t>aldr</t>
  </si>
  <si>
    <t>age, life, period (noun)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</si>
  <si>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</si>
  <si>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</si>
  <si>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</si>
  <si>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</si>
  <si>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</si>
  <si>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</si>
  <si>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</si>
  <si>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</si>
  <si>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</si>
  <si>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</si>
  <si>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</si>
  <si>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</si>
  <si>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</si>
  <si>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</si>
  <si>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</si>
  <si>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</si>
  <si>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</si>
  <si>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</si>
  <si>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amban</t>
  </si>
  <si>
    <t>a bundle or a bouquet; a group of things held together by a rope or string</t>
  </si>
  <si>
    <t>ambátt</t>
  </si>
  <si>
    <t>an ambassador or representative</t>
  </si>
  <si>
    <t>amla</t>
  </si>
  <si>
    <t>to annoy, to irritate, or to frustrate</t>
  </si>
  <si>
    <t>anda</t>
  </si>
  <si>
    <t>to breathe (verb); spirit, soul (noun)</t>
  </si>
  <si>
    <t>anda-leiða</t>
  </si>
  <si>
    <t>to woo or charm</t>
  </si>
  <si>
    <t>anda-skyma</t>
  </si>
  <si>
    <t>to drown</t>
  </si>
  <si>
    <t>anda-vigð</t>
  </si>
  <si>
    <t>vigorous (adjective)</t>
  </si>
  <si>
    <t>anda-vríta</t>
  </si>
  <si>
    <t>to devastate; to break one's heart</t>
  </si>
  <si>
    <t>anda-výsi</t>
  </si>
  <si>
    <t>manner, behavior, behaviour, personality</t>
  </si>
  <si>
    <t>andar-jafa</t>
  </si>
  <si>
    <t>to surrender; to give up or give in</t>
  </si>
  <si>
    <t>andashæling eip</t>
  </si>
  <si>
    <t>spiritual growth herb</t>
  </si>
  <si>
    <t>angr</t>
  </si>
  <si>
    <t>problem, trouble</t>
  </si>
  <si>
    <t>ant-elska</t>
  </si>
  <si>
    <t>to crush on, to be infatuated with; to have romantic feelings for</t>
  </si>
  <si>
    <t>ant-ligt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</si>
  <si>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</si>
  <si>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</si>
  <si>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</si>
  <si>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</si>
  <si>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</si>
  <si>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</si>
  <si>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</si>
  <si>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</si>
  <si>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</si>
  <si>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</si>
  <si>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</si>
  <si>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</si>
  <si>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</si>
  <si>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</si>
  <si>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</si>
  <si>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</si>
  <si>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</si>
  <si>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</si>
  <si>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</si>
  <si>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</si>
  <si>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</si>
  <si>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</si>
  <si>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</si>
  <si>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</si>
  <si>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</si>
  <si>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</si>
  <si>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</si>
  <si>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</t>
  </si>
  <si>
    <t>an ash tree or its wood</t>
  </si>
  <si>
    <t>asnur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</si>
  <si>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</si>
  <si>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</si>
  <si>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</si>
  <si>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</si>
  <si>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</si>
  <si>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</si>
  <si>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</si>
  <si>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</si>
  <si>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</si>
  <si>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at-fol</t>
  </si>
  <si>
    <t>enough (adjective, adverb, pronoun, interjection)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</si>
  <si>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</si>
  <si>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</si>
  <si>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</si>
  <si>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</si>
  <si>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</si>
  <si>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</si>
  <si>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</si>
  <si>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</si>
  <si>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</si>
  <si>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</si>
  <si>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</si>
  <si>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</si>
  <si>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</si>
  <si>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</si>
  <si>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</si>
  <si>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</si>
  <si>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</si>
  <si>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</si>
  <si>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</si>
  <si>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</si>
  <si>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aurga</t>
  </si>
  <si>
    <t>feces, poop</t>
  </si>
  <si>
    <t>auvullr</t>
  </si>
  <si>
    <t>a forge</t>
  </si>
  <si>
    <t>ávintr</t>
  </si>
  <si>
    <t>favorite (noun, adjective)</t>
  </si>
  <si>
    <t>ávoxtúr</t>
  </si>
  <si>
    <t>fruit | plural: ávixti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</si>
  <si>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</si>
  <si>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</si>
  <si>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</si>
  <si>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</si>
  <si>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</si>
  <si>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</si>
  <si>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</si>
  <si>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</si>
  <si>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</si>
  <si>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</si>
  <si>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</si>
  <si>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</si>
  <si>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</si>
  <si>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</si>
  <si>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</si>
  <si>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</si>
  <si>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</si>
  <si>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</si>
  <si>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</si>
  <si>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</si>
  <si>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</si>
  <si>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</si>
  <si>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</si>
  <si>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</si>
  <si>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bápr</t>
  </si>
  <si>
    <t>curious, adventurous (adjective)</t>
  </si>
  <si>
    <t>bara</t>
  </si>
  <si>
    <t>to let, allow, may, permit, tolerate, bear something; a license, ticket, or permit</t>
  </si>
  <si>
    <t>barða</t>
  </si>
  <si>
    <t>to birth; to give birth</t>
  </si>
  <si>
    <t>baring</t>
  </si>
  <si>
    <t>a burden or load</t>
  </si>
  <si>
    <t>barka</t>
  </si>
  <si>
    <t>to bark</t>
  </si>
  <si>
    <t>bastark</t>
  </si>
  <si>
    <t>baldric</t>
  </si>
  <si>
    <t>básti</t>
  </si>
  <si>
    <t>hat, headwear</t>
  </si>
  <si>
    <t>bavna</t>
  </si>
  <si>
    <t>wound</t>
  </si>
  <si>
    <t>bavna-báma</t>
  </si>
  <si>
    <t>a balm or salve to treat wounds</t>
  </si>
  <si>
    <t>beið</t>
  </si>
  <si>
    <t>both (adjective)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</si>
  <si>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</si>
  <si>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</si>
  <si>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</si>
  <si>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</si>
  <si>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</si>
  <si>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</si>
  <si>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</si>
  <si>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</si>
  <si>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</si>
  <si>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</t>
  </si>
  <si>
    <t>bémm</t>
  </si>
  <si>
    <t>sound, noise</t>
  </si>
  <si>
    <t>béra</t>
  </si>
  <si>
    <t>bear</t>
  </si>
  <si>
    <t>beru</t>
  </si>
  <si>
    <t>berry</t>
  </si>
  <si>
    <t>beskr</t>
  </si>
  <si>
    <t>shore, beach, coast</t>
  </si>
  <si>
    <t>beyra</t>
  </si>
  <si>
    <t>to smile or grin</t>
  </si>
  <si>
    <t>bígana</t>
  </si>
  <si>
    <t>to start, to begin</t>
  </si>
  <si>
    <t>bína</t>
  </si>
  <si>
    <t>bat (animal)</t>
  </si>
  <si>
    <t>bitr</t>
  </si>
  <si>
    <t>sharp (adjective), angled (adjective)</t>
  </si>
  <si>
    <t>bjálfasl</t>
  </si>
  <si>
    <t>foolishness, horseplay, rowdiness</t>
  </si>
  <si>
    <t>bjálfi</t>
  </si>
  <si>
    <t>fool (insult)</t>
  </si>
  <si>
    <t>bjoft</t>
  </si>
  <si>
    <t>a pillow</t>
  </si>
  <si>
    <t>bjönd</t>
  </si>
  <si>
    <t>group, crowd, set (like lego set)</t>
  </si>
  <si>
    <t>bjönd-finnr</t>
  </si>
  <si>
    <t>accomplice, teammate, mate, same group guy</t>
  </si>
  <si>
    <t>björk</t>
  </si>
  <si>
    <t>a birch tree or its wood</t>
  </si>
  <si>
    <t>björk-borðar</t>
  </si>
  <si>
    <t>birch planks</t>
  </si>
  <si>
    <t>blá</t>
  </si>
  <si>
    <t>to curse, to damn | past tense: blát | past participle: blátað</t>
  </si>
  <si>
    <t>blá-tala</t>
  </si>
  <si>
    <t>to curse, swear, cuss</t>
  </si>
  <si>
    <t>blað</t>
  </si>
  <si>
    <t>the blade of a sharp weapon</t>
  </si>
  <si>
    <t>bláss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</si>
  <si>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</si>
  <si>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</si>
  <si>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</si>
  <si>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</si>
  <si>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</si>
  <si>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</si>
  <si>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</si>
  <si>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</si>
  <si>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</si>
  <si>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</si>
  <si>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</si>
  <si>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blómaligt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</si>
  <si>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</si>
  <si>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</si>
  <si>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</si>
  <si>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</si>
  <si>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</si>
  <si>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</si>
  <si>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</si>
  <si>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</si>
  <si>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</si>
  <si>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</si>
  <si>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</si>
  <si>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</si>
  <si>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</si>
  <si>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</si>
  <si>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</si>
  <si>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</si>
  <si>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</si>
  <si>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</si>
  <si>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</si>
  <si>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</si>
  <si>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</si>
  <si>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</si>
  <si>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</si>
  <si>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</si>
  <si>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</si>
  <si>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</si>
  <si>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</si>
  <si>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</si>
  <si>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</si>
  <si>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</si>
  <si>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</si>
  <si>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</si>
  <si>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</si>
  <si>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</si>
  <si>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</si>
  <si>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</si>
  <si>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</si>
  <si>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</si>
  <si>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</si>
  <si>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</si>
  <si>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</si>
  <si>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</si>
  <si>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</si>
  <si>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</si>
  <si>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</si>
  <si>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</si>
  <si>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</si>
  <si>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</si>
  <si>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</si>
  <si>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</si>
  <si>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 (noun); unclean, untidy (adjective) | definitive: brjosstitt</t>
  </si>
  <si>
    <t>brjossfus</t>
  </si>
  <si>
    <t>terrible, horrible (adjective); terribly, horribly (adverb)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</si>
  <si>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</si>
  <si>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</si>
  <si>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</si>
  <si>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</si>
  <si>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</si>
  <si>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</si>
  <si>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</si>
  <si>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</si>
  <si>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</si>
  <si>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</si>
  <si>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</si>
  <si>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| plural: brúir</t>
  </si>
  <si>
    <t>búa</t>
  </si>
  <si>
    <t>to live at, or to live in | present tense: by/bý/býr | past tense: býði | past participle: býð | present participle: bvandi</t>
  </si>
  <si>
    <t>búð</t>
  </si>
  <si>
    <t>shop, store; market stall, stand, or booth</t>
  </si>
  <si>
    <t>búfn</t>
  </si>
  <si>
    <t>belt</t>
  </si>
  <si>
    <t>búnda</t>
  </si>
  <si>
    <t>to embrace or hug</t>
  </si>
  <si>
    <t>bunta</t>
  </si>
  <si>
    <t>drum</t>
  </si>
  <si>
    <t>burð</t>
  </si>
  <si>
    <t>chest, torso</t>
  </si>
  <si>
    <t>burkr</t>
  </si>
  <si>
    <t>a glass jar</t>
  </si>
  <si>
    <t>býðask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</si>
  <si>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</si>
  <si>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</si>
  <si>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</si>
  <si>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</si>
  <si>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</si>
  <si>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</si>
  <si>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</si>
  <si>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</si>
  <si>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</si>
  <si>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býrrum</t>
  </si>
  <si>
    <t>a beech tree or its wood</t>
  </si>
  <si>
    <t>býrrum-borðar</t>
  </si>
  <si>
    <t>beech planks</t>
  </si>
  <si>
    <t>bystr</t>
  </si>
  <si>
    <t>ingot, bar of metal</t>
  </si>
  <si>
    <t>býtrót</t>
  </si>
  <si>
    <t>a beetroot</t>
  </si>
  <si>
    <t>bývi</t>
  </si>
  <si>
    <t>smooth</t>
  </si>
  <si>
    <t>dær</t>
  </si>
  <si>
    <t>deer</t>
  </si>
  <si>
    <t>dag-mæð</t>
  </si>
  <si>
    <t>breakfast</t>
  </si>
  <si>
    <t>dagr</t>
  </si>
  <si>
    <t>day, today</t>
  </si>
  <si>
    <t>dám</t>
  </si>
  <si>
    <t>bad, unwell (adjective)</t>
  </si>
  <si>
    <t>daman</t>
  </si>
  <si>
    <t>affair, business, concern, doing, involvement</t>
  </si>
  <si>
    <t>dan</t>
  </si>
  <si>
    <t>sir; a way to politely address a man or a higher up</t>
  </si>
  <si>
    <t>danza</t>
  </si>
  <si>
    <t>to dance</t>
  </si>
  <si>
    <t>darsk</t>
  </si>
  <si>
    <t>black (color) (noun)</t>
  </si>
  <si>
    <t>dásama</t>
  </si>
  <si>
    <t>wonder, marvel</t>
  </si>
  <si>
    <t>dásamligt</t>
  </si>
  <si>
    <t>wonderful, amazing (adjective)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</si>
  <si>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</si>
  <si>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</si>
  <si>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</si>
  <si>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</si>
  <si>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</si>
  <si>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</si>
  <si>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</si>
  <si>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</si>
  <si>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</si>
  <si>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</si>
  <si>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</si>
  <si>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</si>
  <si>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</si>
  <si>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</si>
  <si>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</si>
  <si>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</si>
  <si>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</si>
  <si>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</si>
  <si>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</si>
  <si>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</si>
  <si>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</si>
  <si>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</si>
  <si>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</si>
  <si>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</si>
  <si>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</si>
  <si>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</si>
  <si>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</si>
  <si>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</si>
  <si>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</si>
  <si>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</si>
  <si>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</si>
  <si>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</si>
  <si>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</si>
  <si>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</si>
  <si>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</si>
  <si>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</si>
  <si>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drangt</t>
  </si>
  <si>
    <t>crazy, insane, delusional (adjective)</t>
  </si>
  <si>
    <t>draugr</t>
  </si>
  <si>
    <t>dreika</t>
  </si>
  <si>
    <t>dragon, wyvern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</si>
  <si>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</si>
  <si>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</si>
  <si>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</si>
  <si>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</si>
  <si>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</si>
  <si>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</si>
  <si>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</si>
  <si>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</si>
  <si>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</si>
  <si>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</si>
  <si>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</si>
  <si>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</si>
  <si>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</si>
  <si>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</si>
  <si>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</si>
  <si>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</si>
  <si>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dúna</t>
  </si>
  <si>
    <t>to wear, put on, do on, don, or dress</t>
  </si>
  <si>
    <t>dúrta</t>
  </si>
  <si>
    <t>to fall</t>
  </si>
  <si>
    <t>dvangír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</si>
  <si>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</si>
  <si>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</si>
  <si>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</si>
  <si>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</si>
  <si>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</si>
  <si>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</si>
  <si>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</si>
  <si>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dyr-borningi</t>
  </si>
  <si>
    <t>bastard, mischievous/naughty person</t>
  </si>
  <si>
    <t>dyra-kyst</t>
  </si>
  <si>
    <t>fang</t>
  </si>
  <si>
    <t>dyra-þrein</t>
  </si>
  <si>
    <t>leash</t>
  </si>
  <si>
    <t>dysmira</t>
  </si>
  <si>
    <t>princess</t>
  </si>
  <si>
    <t>dystr</t>
  </si>
  <si>
    <t>nude, naked, raw, uncovered, bare (adjective)</t>
  </si>
  <si>
    <t>edik</t>
  </si>
  <si>
    <t>vinegar</t>
  </si>
  <si>
    <t>eðr</t>
  </si>
  <si>
    <t>each, every (adjective)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</si>
  <si>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</si>
  <si>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</si>
  <si>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</si>
  <si>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</si>
  <si>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</si>
  <si>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</si>
  <si>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</si>
  <si>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</si>
  <si>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</si>
  <si>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</t>
  </si>
  <si>
    <t>égva</t>
  </si>
  <si>
    <t>to succeed or finish; to gain success</t>
  </si>
  <si>
    <t>eifr</t>
  </si>
  <si>
    <t>essence, liquid, plant liquid, bodily liquid</t>
  </si>
  <si>
    <t>eig-</t>
  </si>
  <si>
    <t>negative prefix, usually means "with no"</t>
  </si>
  <si>
    <t>eig-einn</t>
  </si>
  <si>
    <t>zero, none, no, isn't, not, negator (adjective)</t>
  </si>
  <si>
    <t>eigein-teikr</t>
  </si>
  <si>
    <t>nothing</t>
  </si>
  <si>
    <t>eigi</t>
  </si>
  <si>
    <t>not, negator (see morpheme section)</t>
  </si>
  <si>
    <t>eigi önn</t>
  </si>
  <si>
    <t>no one</t>
  </si>
  <si>
    <t>eik-langð</t>
  </si>
  <si>
    <t>wooden log</t>
  </si>
  <si>
    <t>eikr</t>
  </si>
  <si>
    <t>wood</t>
  </si>
  <si>
    <t>eikr-anda</t>
  </si>
  <si>
    <t>wooden figurine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</si>
  <si>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</si>
  <si>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</si>
  <si>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</si>
  <si>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</si>
  <si>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</si>
  <si>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</si>
  <si>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</si>
  <si>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</si>
  <si>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</si>
  <si>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</si>
  <si>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</si>
  <si>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</si>
  <si>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</si>
  <si>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</si>
  <si>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eirra</t>
  </si>
  <si>
    <t>magic energy, magic essence</t>
  </si>
  <si>
    <t>eitin</t>
  </si>
  <si>
    <t>pigeon</t>
  </si>
  <si>
    <t>ek</t>
  </si>
  <si>
    <t>i, me (subject case)</t>
  </si>
  <si>
    <t>ekkin</t>
  </si>
  <si>
    <t>property, belongings, possessions, someone's things/stuff</t>
  </si>
  <si>
    <t>ekkna</t>
  </si>
  <si>
    <t>to own, have, or possess; to have ownership of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</si>
  <si>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</si>
  <si>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</si>
  <si>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</si>
  <si>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</si>
  <si>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</si>
  <si>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</si>
  <si>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</si>
  <si>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</si>
  <si>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</si>
  <si>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</si>
  <si>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ellri</t>
  </si>
  <si>
    <t>parent, elder</t>
  </si>
  <si>
    <t>ellri-föðr</t>
  </si>
  <si>
    <t>grandfather</t>
  </si>
  <si>
    <t>ellri-möðriss</t>
  </si>
  <si>
    <t>grandmother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</si>
  <si>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</si>
  <si>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</si>
  <si>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</si>
  <si>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</si>
  <si>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</si>
  <si>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</si>
  <si>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elsk-ligt</t>
  </si>
  <si>
    <t>romantic (adjective)</t>
  </si>
  <si>
    <t>elska</t>
  </si>
  <si>
    <t>to love dearly</t>
  </si>
  <si>
    <t>elskr</t>
  </si>
  <si>
    <t>love</t>
  </si>
  <si>
    <t>elskr-eip</t>
  </si>
  <si>
    <t>love herb</t>
  </si>
  <si>
    <t>eltask</t>
  </si>
  <si>
    <t>to make better, to update, to upgrade</t>
  </si>
  <si>
    <t>eltjast</t>
  </si>
  <si>
    <t>best, most (adjective, adverb)</t>
  </si>
  <si>
    <t>eltjastan</t>
  </si>
  <si>
    <t>the best, the most (noun)</t>
  </si>
  <si>
    <t>eltr</t>
  </si>
  <si>
    <t>better (adjective, adverb)</t>
  </si>
  <si>
    <t>embætta</t>
  </si>
  <si>
    <t>to participate, or to attend; to take part, or to engage in</t>
  </si>
  <si>
    <t>end-lög</t>
  </si>
  <si>
    <t>never ending, no end, forever (adjective, adverb)</t>
  </si>
  <si>
    <t>endr</t>
  </si>
  <si>
    <t>yore, a while ago, a long time ago (noun, adjective)</t>
  </si>
  <si>
    <t>ep</t>
  </si>
  <si>
    <t>on, on top, atop, up onto (preposition)</t>
  </si>
  <si>
    <t>ep rjög</t>
  </si>
  <si>
    <t>along</t>
  </si>
  <si>
    <t>erg-meyja</t>
  </si>
  <si>
    <t>offensive term against women; slut, slave to lust (slur, insult)</t>
  </si>
  <si>
    <t>ergi</t>
  </si>
  <si>
    <t>lust (noun)</t>
  </si>
  <si>
    <t>ergin-astr</t>
  </si>
  <si>
    <t>horny, lustful, lewd, erotic (adjective)</t>
  </si>
  <si>
    <t>erja</t>
  </si>
  <si>
    <t>mud, ooze, slime</t>
  </si>
  <si>
    <t>ertik</t>
  </si>
  <si>
    <t>event</t>
  </si>
  <si>
    <t>eska</t>
  </si>
  <si>
    <t>to carve, to sculpt</t>
  </si>
  <si>
    <t>essafr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</si>
  <si>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</si>
  <si>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</si>
  <si>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</si>
  <si>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</si>
  <si>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</si>
  <si>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</si>
  <si>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</si>
  <si>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eyra</t>
  </si>
  <si>
    <t>ear of creature</t>
  </si>
  <si>
    <t>fabba</t>
  </si>
  <si>
    <t>to tell a story or explain; to make a noise; what someone meant to say</t>
  </si>
  <si>
    <t>faða</t>
  </si>
  <si>
    <t>to draw</t>
  </si>
  <si>
    <t>færa</t>
  </si>
  <si>
    <t>to be afraid of, to fear; dread, fear, terror</t>
  </si>
  <si>
    <t>færr</t>
  </si>
  <si>
    <t>a low amount of, a little amount of, few, a bit of (adjective)</t>
  </si>
  <si>
    <t>fáfok</t>
  </si>
  <si>
    <t>sea wave</t>
  </si>
  <si>
    <t>fál-akri</t>
  </si>
  <si>
    <t>seagull</t>
  </si>
  <si>
    <t>fál-kóna</t>
  </si>
  <si>
    <t>mermaid, siren (creature)</t>
  </si>
  <si>
    <t>fálr</t>
  </si>
  <si>
    <t>sea, ocean, giant body of water</t>
  </si>
  <si>
    <t>fángva</t>
  </si>
  <si>
    <t>bronze</t>
  </si>
  <si>
    <t>far-maðr</t>
  </si>
  <si>
    <t>adventurer</t>
  </si>
  <si>
    <t>fara</t>
  </si>
  <si>
    <t>to go to, or to leave or depart to; to move, walk, run, sprint, etc; to leave or depart</t>
  </si>
  <si>
    <t>fareg</t>
  </si>
  <si>
    <t>to sail</t>
  </si>
  <si>
    <t>farking</t>
  </si>
  <si>
    <t>journey, trek</t>
  </si>
  <si>
    <t>fárz</t>
  </si>
  <si>
    <t>smoke</t>
  </si>
  <si>
    <t>fásta</t>
  </si>
  <si>
    <t>to run</t>
  </si>
  <si>
    <t>fáta</t>
  </si>
  <si>
    <t>to gain, receive, or to be given, often used when one receives something from another one</t>
  </si>
  <si>
    <t>fátask</t>
  </si>
  <si>
    <t>to summon; to call, send for, or ask the presence of</t>
  </si>
  <si>
    <t>faugr</t>
  </si>
  <si>
    <t>fungi, fungus, mushroom</t>
  </si>
  <si>
    <t>feðr</t>
  </si>
  <si>
    <t>feather</t>
  </si>
  <si>
    <t>fefna</t>
  </si>
  <si>
    <t>to find, search, or to look for; to seek | past tense: föndi | past participle: föndið</t>
  </si>
  <si>
    <t>fega</t>
  </si>
  <si>
    <t>to smell or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</si>
  <si>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</si>
  <si>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</si>
  <si>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</si>
  <si>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</si>
  <si>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</si>
  <si>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</si>
  <si>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</si>
  <si>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</si>
  <si>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feira</t>
  </si>
  <si>
    <t>to split or share amongst</t>
  </si>
  <si>
    <t>fekíg</t>
  </si>
  <si>
    <t>cart, wagon</t>
  </si>
  <si>
    <t>féla</t>
  </si>
  <si>
    <t>to enjoy</t>
  </si>
  <si>
    <t>feldr</t>
  </si>
  <si>
    <t>vellum</t>
  </si>
  <si>
    <t>feleiga</t>
  </si>
  <si>
    <t>to seduce</t>
  </si>
  <si>
    <t>feng</t>
  </si>
  <si>
    <t>apron</t>
  </si>
  <si>
    <t>ferjafusti</t>
  </si>
  <si>
    <t>the real or actual thing</t>
  </si>
  <si>
    <t>ferta</t>
  </si>
  <si>
    <t>grass, plant</t>
  </si>
  <si>
    <t>ferta-landr</t>
  </si>
  <si>
    <t>grasslands, plains, meadows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</si>
  <si>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</si>
  <si>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</si>
  <si>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</si>
  <si>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</si>
  <si>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</si>
  <si>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</si>
  <si>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</si>
  <si>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</si>
  <si>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</si>
  <si>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</si>
  <si>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</si>
  <si>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</si>
  <si>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finn-ligt</t>
  </si>
  <si>
    <t>nice, friendly, kind (adjective); fine, polished (adjective)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</si>
  <si>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</si>
  <si>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</si>
  <si>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</si>
  <si>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</si>
  <si>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</si>
  <si>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</si>
  <si>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</si>
  <si>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</si>
  <si>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</si>
  <si>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</si>
  <si>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</si>
  <si>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</si>
  <si>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</si>
  <si>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</si>
  <si>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fjaða</t>
  </si>
  <si>
    <t>to damn</t>
  </si>
  <si>
    <t>fjaðinn</t>
  </si>
  <si>
    <t>something that is damned</t>
  </si>
  <si>
    <t>fjaðinn þú</t>
  </si>
  <si>
    <t>equivalent to "fuck you"</t>
  </si>
  <si>
    <t>fjaðt</t>
  </si>
  <si>
    <t>damned (adjective); a curse word (interjection)</t>
  </si>
  <si>
    <t>Fjallþungr, Fjallaska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</si>
  <si>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</si>
  <si>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</si>
  <si>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</si>
  <si>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</si>
  <si>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</si>
  <si>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</t>
  </si>
  <si>
    <t>wind</t>
  </si>
  <si>
    <t>fjöl-vyr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</si>
  <si>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</si>
  <si>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</si>
  <si>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</si>
  <si>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</si>
  <si>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</si>
  <si>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</si>
  <si>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</si>
  <si>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</si>
  <si>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</si>
  <si>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flattask</t>
  </si>
  <si>
    <t>to make even or fair; to flatten</t>
  </si>
  <si>
    <t>flattr</t>
  </si>
  <si>
    <t>flat, level, even, fair (adjective)</t>
  </si>
  <si>
    <t>flauja</t>
  </si>
  <si>
    <t>a flag or banner | definite: flaujann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</si>
  <si>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</si>
  <si>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</si>
  <si>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</si>
  <si>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</si>
  <si>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</si>
  <si>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</si>
  <si>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</si>
  <si>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</si>
  <si>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</si>
  <si>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</si>
  <si>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</si>
  <si>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</si>
  <si>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flurðr</t>
  </si>
  <si>
    <t>winter</t>
  </si>
  <si>
    <t>flytja</t>
  </si>
  <si>
    <t>to move an object, to place or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</si>
  <si>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</si>
  <si>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</si>
  <si>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</si>
  <si>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</si>
  <si>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</si>
  <si>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</si>
  <si>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</si>
  <si>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</si>
  <si>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</si>
  <si>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</si>
  <si>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</si>
  <si>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</si>
  <si>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</si>
  <si>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</si>
  <si>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</si>
  <si>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</si>
  <si>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</si>
  <si>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</si>
  <si>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</si>
  <si>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</si>
  <si>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fol-vita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</si>
  <si>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</si>
  <si>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</si>
  <si>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</si>
  <si>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</si>
  <si>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</si>
  <si>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</si>
  <si>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</si>
  <si>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</si>
  <si>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</si>
  <si>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</si>
  <si>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</si>
  <si>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</si>
  <si>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</si>
  <si>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</si>
  <si>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</si>
  <si>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</si>
  <si>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</si>
  <si>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</si>
  <si>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</si>
  <si>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runar</t>
  </si>
  <si>
    <t>Old Italic Script</t>
  </si>
  <si>
    <t>föt</t>
  </si>
  <si>
    <t>foot, feet</t>
  </si>
  <si>
    <t>fóttr</t>
  </si>
  <si>
    <t>rogue, scoundrel, rascal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</si>
  <si>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</si>
  <si>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</si>
  <si>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</si>
  <si>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</si>
  <si>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</si>
  <si>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</si>
  <si>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</si>
  <si>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(singular and plural)</t>
  </si>
  <si>
    <t>fræg-ligt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</si>
  <si>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</si>
  <si>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</si>
  <si>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</si>
  <si>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</si>
  <si>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</si>
  <si>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</si>
  <si>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</si>
  <si>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friða</t>
  </si>
  <si>
    <t>beauty</t>
  </si>
  <si>
    <t>frigna</t>
  </si>
  <si>
    <t>basket</t>
  </si>
  <si>
    <t>frír</t>
  </si>
  <si>
    <t>frost</t>
  </si>
  <si>
    <t>fróa</t>
  </si>
  <si>
    <t>to relieve from; to free from</t>
  </si>
  <si>
    <t>fröskr</t>
  </si>
  <si>
    <t>frog</t>
  </si>
  <si>
    <t>frung-eipr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</si>
  <si>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</si>
  <si>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</si>
  <si>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</si>
  <si>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</si>
  <si>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</si>
  <si>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</si>
  <si>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</si>
  <si>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fugða</t>
  </si>
  <si>
    <t>an unpleasant person (insult)</t>
  </si>
  <si>
    <t>fúltr</t>
  </si>
  <si>
    <t>valley</t>
  </si>
  <si>
    <t>fumba</t>
  </si>
  <si>
    <t>to change or modify</t>
  </si>
  <si>
    <t>furum</t>
  </si>
  <si>
    <t>size, scale, mass</t>
  </si>
  <si>
    <t>fútti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</si>
  <si>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</si>
  <si>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</si>
  <si>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</si>
  <si>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</si>
  <si>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</si>
  <si>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</si>
  <si>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</si>
  <si>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</si>
  <si>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</si>
  <si>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</si>
  <si>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</si>
  <si>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</si>
  <si>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</si>
  <si>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</si>
  <si>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</si>
  <si>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</si>
  <si>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</si>
  <si>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</si>
  <si>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</si>
  <si>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fyrst-orð</t>
  </si>
  <si>
    <t>default, standard</t>
  </si>
  <si>
    <t>fyrstinn</t>
  </si>
  <si>
    <t>the first (noun)</t>
  </si>
  <si>
    <t>fyrstorðligt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</si>
  <si>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</si>
  <si>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</si>
  <si>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</si>
  <si>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</si>
  <si>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</si>
  <si>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</si>
  <si>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</si>
  <si>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</si>
  <si>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</si>
  <si>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</si>
  <si>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</si>
  <si>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</si>
  <si>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</si>
  <si>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</si>
  <si>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</si>
  <si>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</si>
  <si>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</si>
  <si>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gær-ligt</t>
  </si>
  <si>
    <t>magnificent, very good (adjective); extremely beautiful, elaborate, or impressive (adjective)</t>
  </si>
  <si>
    <t>gær-maðr</t>
  </si>
  <si>
    <t>a superior, overseer</t>
  </si>
  <si>
    <t>gærr</t>
  </si>
  <si>
    <t>great, superior, major (adjective)</t>
  </si>
  <si>
    <t>galdr</t>
  </si>
  <si>
    <t>magic | plural: galdrar</t>
  </si>
  <si>
    <t>galdra-norn</t>
  </si>
  <si>
    <t>a witch who practices magic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</si>
  <si>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</si>
  <si>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</si>
  <si>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</si>
  <si>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</si>
  <si>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</si>
  <si>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</si>
  <si>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</si>
  <si>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</si>
  <si>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</si>
  <si>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</si>
  <si>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</si>
  <si>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</si>
  <si>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</si>
  <si>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</si>
  <si>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</si>
  <si>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</si>
  <si>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</si>
  <si>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</si>
  <si>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</si>
  <si>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</si>
  <si>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</si>
  <si>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</si>
  <si>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</si>
  <si>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</si>
  <si>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</si>
  <si>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</si>
  <si>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</si>
  <si>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</si>
  <si>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</si>
  <si>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</si>
  <si>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</si>
  <si>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</si>
  <si>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</si>
  <si>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</si>
  <si>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</si>
  <si>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</si>
  <si>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</si>
  <si>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</si>
  <si>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</si>
  <si>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</si>
  <si>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</si>
  <si>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</si>
  <si>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giftiðir</t>
  </si>
  <si>
    <t>one who's betrothed to</t>
  </si>
  <si>
    <t>giftr</t>
  </si>
  <si>
    <t>to be 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</si>
  <si>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</si>
  <si>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</si>
  <si>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</si>
  <si>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</si>
  <si>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</si>
  <si>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</si>
  <si>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</si>
  <si>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</si>
  <si>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</si>
  <si>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</si>
  <si>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</si>
  <si>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</si>
  <si>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</si>
  <si>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</si>
  <si>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</si>
  <si>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</si>
  <si>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</si>
  <si>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</si>
  <si>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</si>
  <si>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</si>
  <si>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</si>
  <si>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</si>
  <si>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</si>
  <si>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</si>
  <si>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</si>
  <si>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</si>
  <si>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</si>
  <si>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</si>
  <si>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</si>
  <si>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</si>
  <si>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</si>
  <si>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</si>
  <si>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</si>
  <si>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</si>
  <si>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</si>
  <si>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</si>
  <si>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</si>
  <si>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</si>
  <si>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gleði</t>
  </si>
  <si>
    <t>joy, happiness</t>
  </si>
  <si>
    <t>glista</t>
  </si>
  <si>
    <t>to shimmer, sparkle, glisten, or twinkle; to shine brightly</t>
  </si>
  <si>
    <t>glúnna</t>
  </si>
  <si>
    <t>to glow, to shine</t>
  </si>
  <si>
    <t>gluppa</t>
  </si>
  <si>
    <t>to drink</t>
  </si>
  <si>
    <t>gluppa ír</t>
  </si>
  <si>
    <t>to absorb, or take in</t>
  </si>
  <si>
    <t>glyja</t>
  </si>
  <si>
    <t>to stare or gaze at; to look or gaze intensely</t>
  </si>
  <si>
    <t>gnaða</t>
  </si>
  <si>
    <t>to ruin or destroy</t>
  </si>
  <si>
    <t>gnágin</t>
  </si>
  <si>
    <t>bumbling, stumbling, not careful, like a klutz, clumsy (adjective)</t>
  </si>
  <si>
    <t>gnatta</t>
  </si>
  <si>
    <t>to scratch</t>
  </si>
  <si>
    <t>gneita</t>
  </si>
  <si>
    <t>to bend or twist</t>
  </si>
  <si>
    <t>góð dagr</t>
  </si>
  <si>
    <t>general greeting (interjection)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</si>
  <si>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</si>
  <si>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</si>
  <si>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</si>
  <si>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</si>
  <si>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</si>
  <si>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</si>
  <si>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</si>
  <si>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</si>
  <si>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</si>
  <si>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</si>
  <si>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</si>
  <si>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</si>
  <si>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</si>
  <si>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</si>
  <si>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</si>
  <si>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</si>
  <si>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</si>
  <si>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</si>
  <si>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</si>
  <si>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</si>
  <si>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</si>
  <si>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</si>
  <si>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</si>
  <si>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</si>
  <si>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</si>
  <si>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</si>
  <si>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grata</t>
  </si>
  <si>
    <t>to catch</t>
  </si>
  <si>
    <t>graur</t>
  </si>
  <si>
    <t>gray, grey (color) (noun, adjective)</t>
  </si>
  <si>
    <t>greið-boga</t>
  </si>
  <si>
    <t>crossbow</t>
  </si>
  <si>
    <t>greiðr</t>
  </si>
  <si>
    <t>a cross</t>
  </si>
  <si>
    <t>greit-örr</t>
  </si>
  <si>
    <t>crossbow bolt</t>
  </si>
  <si>
    <t>gríða</t>
  </si>
  <si>
    <t>to roll</t>
  </si>
  <si>
    <t>gríp-ligt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</si>
  <si>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</si>
  <si>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</si>
  <si>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</si>
  <si>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</si>
  <si>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</si>
  <si>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</si>
  <si>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</si>
  <si>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</si>
  <si>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</si>
  <si>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</si>
  <si>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</si>
  <si>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</si>
  <si>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</si>
  <si>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</si>
  <si>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</si>
  <si>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</si>
  <si>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</si>
  <si>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</si>
  <si>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</si>
  <si>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</si>
  <si>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</si>
  <si>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</si>
  <si>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</si>
  <si>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</si>
  <si>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</si>
  <si>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</si>
  <si>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</si>
  <si>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</si>
  <si>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</si>
  <si>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</si>
  <si>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gvet, gveti, gvetir | past tense: gvæti | past participle: gvætið</t>
  </si>
  <si>
    <t>gveta með</t>
  </si>
  <si>
    <t>to bring</t>
  </si>
  <si>
    <t>gvítt</t>
  </si>
  <si>
    <t>white (noun, adjective)</t>
  </si>
  <si>
    <t>gvorndi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</si>
  <si>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</si>
  <si>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</si>
  <si>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</si>
  <si>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</si>
  <si>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</si>
  <si>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</si>
  <si>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</si>
  <si>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</si>
  <si>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</si>
  <si>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</si>
  <si>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</si>
  <si>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</si>
  <si>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</si>
  <si>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</si>
  <si>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</si>
  <si>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</si>
  <si>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</si>
  <si>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</si>
  <si>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</si>
  <si>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</si>
  <si>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</si>
  <si>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</si>
  <si>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</si>
  <si>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</si>
  <si>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giant (creature) | feminine: heigi</t>
  </si>
  <si>
    <t>hak</t>
  </si>
  <si>
    <t>a hook, the barb at the end of a hook or an arrowhead</t>
  </si>
  <si>
    <t>haka</t>
  </si>
  <si>
    <t>someone's chin</t>
  </si>
  <si>
    <t>haki</t>
  </si>
  <si>
    <t>a hook</t>
  </si>
  <si>
    <t>hakkarr</t>
  </si>
  <si>
    <t>a pickaxe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</si>
  <si>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</si>
  <si>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</si>
  <si>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</si>
  <si>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</si>
  <si>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</si>
  <si>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</si>
  <si>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</si>
  <si>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</si>
  <si>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</si>
  <si>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</si>
  <si>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</si>
  <si>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 (hálfr teikr = half of something), almost (adjective, adverb)</t>
  </si>
  <si>
    <t>halló, hæ, hei</t>
  </si>
  <si>
    <t>hello, hi, hey</t>
  </si>
  <si>
    <t>hálmandr</t>
  </si>
  <si>
    <t>warrior, fighter</t>
  </si>
  <si>
    <t>hálr</t>
  </si>
  <si>
    <t>conflict, war</t>
  </si>
  <si>
    <t>ham</t>
  </si>
  <si>
    <t>he, him, his (accusative and 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</si>
  <si>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</si>
  <si>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</si>
  <si>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</si>
  <si>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</si>
  <si>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</si>
  <si>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</si>
  <si>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háskana</t>
  </si>
  <si>
    <t>to massacre or slaughter; to kill many of</t>
  </si>
  <si>
    <t>hauf</t>
  </si>
  <si>
    <t>hot as in "a hot fire" (adjective)</t>
  </si>
  <si>
    <t>hauf-skórr</t>
  </si>
  <si>
    <t>a volcanic rock</t>
  </si>
  <si>
    <t>haukr</t>
  </si>
  <si>
    <t>hawk</t>
  </si>
  <si>
    <t>hautt</t>
  </si>
  <si>
    <t>tall, high (adjective)</t>
  </si>
  <si>
    <t>hegeð</t>
  </si>
  <si>
    <t>can be seen, visible (adjective)</t>
  </si>
  <si>
    <t>heili</t>
  </si>
  <si>
    <t>brain</t>
  </si>
  <si>
    <t>heim-maðar</t>
  </si>
  <si>
    <t>family</t>
  </si>
  <si>
    <t>heimr</t>
  </si>
  <si>
    <t>house, home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</si>
  <si>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</si>
  <si>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</si>
  <si>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</si>
  <si>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</si>
  <si>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</si>
  <si>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</si>
  <si>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</si>
  <si>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</si>
  <si>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</si>
  <si>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</si>
  <si>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</si>
  <si>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</si>
  <si>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</si>
  <si>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</si>
  <si>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</si>
  <si>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</si>
  <si>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</si>
  <si>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</si>
  <si>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</si>
  <si>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</si>
  <si>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</si>
  <si>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</si>
  <si>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</si>
  <si>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</si>
  <si>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</si>
  <si>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</si>
  <si>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</si>
  <si>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</si>
  <si>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</si>
  <si>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</si>
  <si>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</si>
  <si>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</si>
  <si>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</si>
  <si>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hlab</t>
  </si>
  <si>
    <t>bone</t>
  </si>
  <si>
    <t>hlab-maðr</t>
  </si>
  <si>
    <t>skeleton, boneman</t>
  </si>
  <si>
    <t>hlabs-urði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</si>
  <si>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</si>
  <si>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</si>
  <si>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</si>
  <si>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</si>
  <si>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</si>
  <si>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</si>
  <si>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</si>
  <si>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</si>
  <si>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</si>
  <si>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</si>
  <si>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</si>
  <si>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</si>
  <si>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</si>
  <si>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</si>
  <si>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</si>
  <si>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</si>
  <si>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</si>
  <si>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</si>
  <si>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</si>
  <si>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</si>
  <si>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</si>
  <si>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</si>
  <si>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</si>
  <si>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</si>
  <si>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</si>
  <si>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</si>
  <si>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</si>
  <si>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hljoss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</si>
  <si>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</si>
  <si>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</si>
  <si>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</si>
  <si>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</si>
  <si>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</si>
  <si>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</si>
  <si>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</si>
  <si>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hnakir</t>
  </si>
  <si>
    <t>throne</t>
  </si>
  <si>
    <t>hnatta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</si>
  <si>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</si>
  <si>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</si>
  <si>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</si>
  <si>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</si>
  <si>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</si>
  <si>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</si>
  <si>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</si>
  <si>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</si>
  <si>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</si>
  <si>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</si>
  <si>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</si>
  <si>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</si>
  <si>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</si>
  <si>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</si>
  <si>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</si>
  <si>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</si>
  <si>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</si>
  <si>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</si>
  <si>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</si>
  <si>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hófn-þask</t>
  </si>
  <si>
    <t>skull</t>
  </si>
  <si>
    <t>höll</t>
  </si>
  <si>
    <t>a hall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</si>
  <si>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</si>
  <si>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</si>
  <si>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</si>
  <si>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</si>
  <si>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</si>
  <si>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</si>
  <si>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</si>
  <si>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</si>
  <si>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</si>
  <si>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</si>
  <si>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</si>
  <si>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</si>
  <si>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</si>
  <si>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</si>
  <si>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</si>
  <si>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</t>
  </si>
  <si>
    <t>hræga</t>
  </si>
  <si>
    <t>pillar</t>
  </si>
  <si>
    <t>hrænti</t>
  </si>
  <si>
    <t>enemy</t>
  </si>
  <si>
    <t>hrafn</t>
  </si>
  <si>
    <t>raven</t>
  </si>
  <si>
    <t>hrafum</t>
  </si>
  <si>
    <t>palm</t>
  </si>
  <si>
    <t>hráka</t>
  </si>
  <si>
    <t>player; a player in a game</t>
  </si>
  <si>
    <t>hrákla</t>
  </si>
  <si>
    <t>to resist, withstand, endure, or tolerate; a battlecry shouted by warriors</t>
  </si>
  <si>
    <t>hráklasl</t>
  </si>
  <si>
    <t>endurance, bodily strength, constitution, resilience</t>
  </si>
  <si>
    <t>hrása</t>
  </si>
  <si>
    <t>to tightly hug or embrace; to tightly hold someone or soemthing</t>
  </si>
  <si>
    <t>hrattr</t>
  </si>
  <si>
    <t>fast, quick (adjective)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</si>
  <si>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</si>
  <si>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</si>
  <si>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</si>
  <si>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</si>
  <si>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</si>
  <si>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</si>
  <si>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</si>
  <si>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</si>
  <si>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</si>
  <si>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</si>
  <si>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</si>
  <si>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</si>
  <si>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</si>
  <si>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</si>
  <si>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</si>
  <si>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</si>
  <si>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hrepna-fekíg</t>
  </si>
  <si>
    <t>artillery, siege weapons</t>
  </si>
  <si>
    <t>hrík-akkar</t>
  </si>
  <si>
    <t>ladder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</si>
  <si>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</si>
  <si>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</si>
  <si>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</si>
  <si>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</si>
  <si>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</si>
  <si>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</si>
  <si>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</si>
  <si>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</si>
  <si>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</si>
  <si>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</si>
  <si>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</si>
  <si>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</si>
  <si>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</si>
  <si>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</si>
  <si>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</si>
  <si>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around, surroundings (noun, adverb)</t>
  </si>
  <si>
    <t>hrófir</t>
  </si>
  <si>
    <t>south (noun)</t>
  </si>
  <si>
    <t>hrofna</t>
  </si>
  <si>
    <t>to surround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</si>
  <si>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</si>
  <si>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</si>
  <si>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</si>
  <si>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</si>
  <si>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</si>
  <si>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</si>
  <si>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</si>
  <si>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</si>
  <si>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</si>
  <si>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</si>
  <si>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</si>
  <si>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</si>
  <si>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</si>
  <si>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</si>
  <si>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</si>
  <si>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</si>
  <si>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</si>
  <si>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</si>
  <si>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</si>
  <si>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</si>
  <si>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</si>
  <si>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</si>
  <si>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</si>
  <si>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</si>
  <si>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</si>
  <si>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</si>
  <si>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</si>
  <si>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</si>
  <si>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</si>
  <si>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</si>
  <si>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</si>
  <si>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</si>
  <si>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úta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</si>
  <si>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</si>
  <si>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</si>
  <si>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</si>
  <si>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</si>
  <si>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</si>
  <si>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</si>
  <si>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</si>
  <si>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</si>
  <si>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</si>
  <si>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</si>
  <si>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</si>
  <si>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</si>
  <si>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</si>
  <si>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</si>
  <si>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</si>
  <si>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</si>
  <si>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to be skilled at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</si>
  <si>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</si>
  <si>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</si>
  <si>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</si>
  <si>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</si>
  <si>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</si>
  <si>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</si>
  <si>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</si>
  <si>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</si>
  <si>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</si>
  <si>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</si>
  <si>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</si>
  <si>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</si>
  <si>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</si>
  <si>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</si>
  <si>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</si>
  <si>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</si>
  <si>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</si>
  <si>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</si>
  <si>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</si>
  <si>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</si>
  <si>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</si>
  <si>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</si>
  <si>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</si>
  <si>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</si>
  <si>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</si>
  <si>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</si>
  <si>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</si>
  <si>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</si>
  <si>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</si>
  <si>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</si>
  <si>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</si>
  <si>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</si>
  <si>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</si>
  <si>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</si>
  <si>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hvýtt</t>
  </si>
  <si>
    <t>wet (adjective)</t>
  </si>
  <si>
    <t>hyðr</t>
  </si>
  <si>
    <t>hour</t>
  </si>
  <si>
    <t>hygla</t>
  </si>
  <si>
    <t>to consider, to decide; to think; to take account, to care, to give attention to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</si>
  <si>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</si>
  <si>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</si>
  <si>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</si>
  <si>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</si>
  <si>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</si>
  <si>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</si>
  <si>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</si>
  <si>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</si>
  <si>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</si>
  <si>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</si>
  <si>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</si>
  <si>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 | if standalone, use "ír" instead. example: "kváma ír"</t>
  </si>
  <si>
    <t>í ássága</t>
  </si>
  <si>
    <t>for example (conjunction)</t>
  </si>
  <si>
    <t>í smeikr</t>
  </si>
  <si>
    <t>on accident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</si>
  <si>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</si>
  <si>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</si>
  <si>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</si>
  <si>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</si>
  <si>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</si>
  <si>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</si>
  <si>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</si>
  <si>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</si>
  <si>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</si>
  <si>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</si>
  <si>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í-vátin</t>
  </si>
  <si>
    <t>underwater (adjective)</t>
  </si>
  <si>
    <t>ið</t>
  </si>
  <si>
    <t>sea salt</t>
  </si>
  <si>
    <t>ið-ligt</t>
  </si>
  <si>
    <t>salty taste (adjective)</t>
  </si>
  <si>
    <t>ið-vátin</t>
  </si>
  <si>
    <t>saltwater brine</t>
  </si>
  <si>
    <t>iðar-skyma</t>
  </si>
  <si>
    <t>to ferment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</si>
  <si>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</si>
  <si>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</si>
  <si>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</si>
  <si>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</si>
  <si>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</si>
  <si>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</si>
  <si>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</si>
  <si>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</si>
  <si>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</si>
  <si>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</si>
  <si>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</si>
  <si>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</si>
  <si>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imp-ferta</t>
  </si>
  <si>
    <t>unwanted weeds</t>
  </si>
  <si>
    <t>impi</t>
  </si>
  <si>
    <t>ill, unwell, not good, bad, evil (adverb)</t>
  </si>
  <si>
    <t>inna</t>
  </si>
  <si>
    <t>to free | check this word out: fróa</t>
  </si>
  <si>
    <t>inning</t>
  </si>
  <si>
    <t>freeing of; discharging of</t>
  </si>
  <si>
    <t>ír</t>
  </si>
  <si>
    <t>inside space (noun)</t>
  </si>
  <si>
    <t>ír-elska</t>
  </si>
  <si>
    <t>to be in love with</t>
  </si>
  <si>
    <t>ír-sérr</t>
  </si>
  <si>
    <t>in here (standalone determiner/pronoun)</t>
  </si>
  <si>
    <t>ír-það</t>
  </si>
  <si>
    <t>in that, in the, in it (standalone determiner/pronoun)</t>
  </si>
  <si>
    <t>ír-þar</t>
  </si>
  <si>
    <t>in there (standalone determiner/pronoun)</t>
  </si>
  <si>
    <t>ír-þessi, ír-þetta</t>
  </si>
  <si>
    <t>in this (standalone determiner/pronoun)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</si>
  <si>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</si>
  <si>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</si>
  <si>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</si>
  <si>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</si>
  <si>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</si>
  <si>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</si>
  <si>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</si>
  <si>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</si>
  <si>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</si>
  <si>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</si>
  <si>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</si>
  <si>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</si>
  <si>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</si>
  <si>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</si>
  <si>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</si>
  <si>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</si>
  <si>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</si>
  <si>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</si>
  <si>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jag</t>
  </si>
  <si>
    <t>argument, quarreling, squabbling</t>
  </si>
  <si>
    <t>jág-blóma</t>
  </si>
  <si>
    <t>dandelion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</si>
  <si>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</si>
  <si>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</si>
  <si>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</si>
  <si>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</si>
  <si>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</si>
  <si>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</si>
  <si>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</si>
  <si>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</si>
  <si>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</si>
  <si>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</si>
  <si>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</si>
  <si>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</si>
  <si>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jásta</t>
  </si>
  <si>
    <t>to suffer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</si>
  <si>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</si>
  <si>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</si>
  <si>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</si>
  <si>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</si>
  <si>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</si>
  <si>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</si>
  <si>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</si>
  <si>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</si>
  <si>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jöndi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</si>
  <si>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</si>
  <si>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</si>
  <si>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</si>
  <si>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</si>
  <si>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</si>
  <si>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</si>
  <si>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</si>
  <si>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jóss</t>
  </si>
  <si>
    <t>bliss, extreme happiness, ecstasy</t>
  </si>
  <si>
    <t>júð</t>
  </si>
  <si>
    <t>hope, potential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</si>
  <si>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</si>
  <si>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</si>
  <si>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</si>
  <si>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</si>
  <si>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</si>
  <si>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</si>
  <si>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</si>
  <si>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</si>
  <si>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</si>
  <si>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</si>
  <si>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</si>
  <si>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</si>
  <si>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</si>
  <si>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</si>
  <si>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</si>
  <si>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</si>
  <si>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</si>
  <si>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</si>
  <si>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</si>
  <si>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</si>
  <si>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</si>
  <si>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</si>
  <si>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</t>
  </si>
  <si>
    <t>darling, dear (noun, adjective)</t>
  </si>
  <si>
    <t>kagnav</t>
  </si>
  <si>
    <t>pike, long spear (weapon)</t>
  </si>
  <si>
    <t>kaktus</t>
  </si>
  <si>
    <t>cactus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</si>
  <si>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</si>
  <si>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</si>
  <si>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</si>
  <si>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</si>
  <si>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</si>
  <si>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</si>
  <si>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</si>
  <si>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</si>
  <si>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</si>
  <si>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</si>
  <si>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</si>
  <si>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</si>
  <si>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kartöflu</t>
  </si>
  <si>
    <t>potato</t>
  </si>
  <si>
    <t>kast</t>
  </si>
  <si>
    <t>gravel</t>
  </si>
  <si>
    <t>kefa</t>
  </si>
  <si>
    <t>to loosen; to untie; to fire or shoot a bow</t>
  </si>
  <si>
    <t>kefið-ligt</t>
  </si>
  <si>
    <t>loosely (adverb)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</si>
  <si>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</si>
  <si>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</si>
  <si>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</si>
  <si>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</si>
  <si>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</si>
  <si>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</si>
  <si>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</si>
  <si>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</si>
  <si>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</si>
  <si>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</si>
  <si>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</si>
  <si>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</si>
  <si>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</si>
  <si>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</si>
  <si>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</si>
  <si>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</si>
  <si>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</si>
  <si>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</si>
  <si>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</si>
  <si>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</si>
  <si>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kírd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</si>
  <si>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</si>
  <si>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</si>
  <si>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</si>
  <si>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</si>
  <si>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</si>
  <si>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</si>
  <si>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</si>
  <si>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</si>
  <si>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</si>
  <si>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</si>
  <si>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</si>
  <si>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</si>
  <si>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</si>
  <si>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kjóstaligt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</si>
  <si>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</si>
  <si>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</si>
  <si>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</si>
  <si>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</si>
  <si>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</si>
  <si>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</si>
  <si>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</si>
  <si>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</si>
  <si>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</si>
  <si>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</si>
  <si>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</si>
  <si>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</si>
  <si>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</si>
  <si>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</si>
  <si>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</si>
  <si>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</si>
  <si>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</si>
  <si>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</si>
  <si>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</si>
  <si>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</si>
  <si>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</si>
  <si>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</si>
  <si>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</si>
  <si>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</si>
  <si>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</si>
  <si>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</si>
  <si>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</si>
  <si>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</si>
  <si>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</si>
  <si>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</si>
  <si>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</si>
  <si>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</si>
  <si>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</si>
  <si>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</si>
  <si>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</si>
  <si>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</si>
  <si>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</si>
  <si>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</si>
  <si>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</si>
  <si>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</si>
  <si>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</si>
  <si>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</si>
  <si>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</si>
  <si>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</si>
  <si>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</si>
  <si>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</si>
  <si>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</si>
  <si>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</si>
  <si>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</si>
  <si>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</si>
  <si>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</si>
  <si>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</si>
  <si>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</si>
  <si>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</si>
  <si>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</si>
  <si>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</si>
  <si>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</si>
  <si>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</si>
  <si>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</si>
  <si>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</si>
  <si>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</si>
  <si>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</si>
  <si>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</si>
  <si>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</si>
  <si>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</si>
  <si>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</si>
  <si>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</si>
  <si>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</si>
  <si>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</si>
  <si>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konung-landr</t>
  </si>
  <si>
    <t>kingdom</t>
  </si>
  <si>
    <t>konungr</t>
  </si>
  <si>
    <t>king</t>
  </si>
  <si>
    <t>konungs-maðr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</si>
  <si>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</si>
  <si>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</si>
  <si>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</si>
  <si>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</si>
  <si>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</si>
  <si>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</si>
  <si>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</si>
  <si>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</si>
  <si>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</si>
  <si>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</si>
  <si>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</si>
  <si>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</si>
  <si>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</si>
  <si>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</si>
  <si>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</si>
  <si>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</si>
  <si>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</si>
  <si>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</si>
  <si>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</si>
  <si>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</si>
  <si>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</si>
  <si>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kötti-byr</t>
  </si>
  <si>
    <t>panda</t>
  </si>
  <si>
    <t>krá</t>
  </si>
  <si>
    <t>crow | plural: kralar</t>
  </si>
  <si>
    <t>kráin</t>
  </si>
  <si>
    <t>wheat</t>
  </si>
  <si>
    <t>kraukr</t>
  </si>
  <si>
    <t>a hoe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</si>
  <si>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</si>
  <si>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</si>
  <si>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</si>
  <si>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</si>
  <si>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</si>
  <si>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</si>
  <si>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</si>
  <si>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</si>
  <si>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</si>
  <si>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</si>
  <si>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</si>
  <si>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</si>
  <si>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</si>
  <si>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</si>
  <si>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</si>
  <si>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</si>
  <si>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</si>
  <si>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</si>
  <si>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</si>
  <si>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</si>
  <si>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kúra-beru</t>
  </si>
  <si>
    <t>raspberry</t>
  </si>
  <si>
    <t>kúst</t>
  </si>
  <si>
    <t>chalk</t>
  </si>
  <si>
    <t>kvænfa</t>
  </si>
  <si>
    <t>to appear</t>
  </si>
  <si>
    <t>kváma</t>
  </si>
  <si>
    <t>to come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</si>
  <si>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</si>
  <si>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</si>
  <si>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</si>
  <si>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</si>
  <si>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</si>
  <si>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</si>
  <si>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</si>
  <si>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</si>
  <si>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</si>
  <si>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</si>
  <si>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</si>
  <si>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</si>
  <si>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</si>
  <si>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</si>
  <si>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</si>
  <si>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</si>
  <si>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</si>
  <si>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</si>
  <si>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</si>
  <si>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</si>
  <si>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</si>
  <si>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</si>
  <si>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</t>
  </si>
  <si>
    <t>bed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</si>
  <si>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</si>
  <si>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</si>
  <si>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</si>
  <si>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</si>
  <si>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</si>
  <si>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</si>
  <si>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</si>
  <si>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</si>
  <si>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kvúman í, fara í</t>
  </si>
  <si>
    <t>enter | variants: kvúman ír, fara ír</t>
  </si>
  <si>
    <t>kvúnn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</si>
  <si>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</si>
  <si>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</si>
  <si>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</si>
  <si>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</si>
  <si>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</si>
  <si>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</si>
  <si>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</si>
  <si>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</si>
  <si>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</si>
  <si>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</si>
  <si>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</si>
  <si>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</si>
  <si>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color, dye, or paint</t>
  </si>
  <si>
    <t>læða</t>
  </si>
  <si>
    <t>a lurker, someone who sneaks</t>
  </si>
  <si>
    <t>lægð</t>
  </si>
  <si>
    <t>weird, crazy, bizarre (adjective)</t>
  </si>
  <si>
    <t>lænin</t>
  </si>
  <si>
    <t>linen</t>
  </si>
  <si>
    <t>læra</t>
  </si>
  <si>
    <t>to learn</t>
  </si>
  <si>
    <t>læri</t>
  </si>
  <si>
    <t>thigh</t>
  </si>
  <si>
    <t>læring-hýs</t>
  </si>
  <si>
    <t>school, academy</t>
  </si>
  <si>
    <t>lærta</t>
  </si>
  <si>
    <t>to offend or insult</t>
  </si>
  <si>
    <t>lága</t>
  </si>
  <si>
    <t>to frighten, to scare; to instill fear</t>
  </si>
  <si>
    <t>láikr</t>
  </si>
  <si>
    <t>onion</t>
  </si>
  <si>
    <t>lámr</t>
  </si>
  <si>
    <t>a dog or cat paw</t>
  </si>
  <si>
    <t>land-mæta</t>
  </si>
  <si>
    <t>to rent</t>
  </si>
  <si>
    <t>landr</t>
  </si>
  <si>
    <t>ground, land</t>
  </si>
  <si>
    <t>lang-kírd</t>
  </si>
  <si>
    <t>bench</t>
  </si>
  <si>
    <t>lang-öx</t>
  </si>
  <si>
    <t>longaxe, dane axe (weapon)</t>
  </si>
  <si>
    <t>lang-skjorð</t>
  </si>
  <si>
    <t>longsword (weapon)</t>
  </si>
  <si>
    <t>lang-tala</t>
  </si>
  <si>
    <t>to lecture; a speech</t>
  </si>
  <si>
    <t>langð</t>
  </si>
  <si>
    <t>length of</t>
  </si>
  <si>
    <t>langr</t>
  </si>
  <si>
    <t>long (adjective)</t>
  </si>
  <si>
    <t>lantr</t>
  </si>
  <si>
    <t>roof</t>
  </si>
  <si>
    <t>lapisskórr</t>
  </si>
  <si>
    <t>lapis lazili</t>
  </si>
  <si>
    <t>laska</t>
  </si>
  <si>
    <t>to scream</t>
  </si>
  <si>
    <t>láttum</t>
  </si>
  <si>
    <t>territory</t>
  </si>
  <si>
    <t>lauki</t>
  </si>
  <si>
    <t>leek</t>
  </si>
  <si>
    <t>lauska</t>
  </si>
  <si>
    <t>to sneak, to go stealthily, or to move quietly</t>
  </si>
  <si>
    <t>lausting</t>
  </si>
  <si>
    <t>void, empty space</t>
  </si>
  <si>
    <t>lax</t>
  </si>
  <si>
    <t>salmon</t>
  </si>
  <si>
    <t>légga</t>
  </si>
  <si>
    <t>to lay or lie down</t>
  </si>
  <si>
    <t>leiða</t>
  </si>
  <si>
    <t>to lead; to take someone along</t>
  </si>
  <si>
    <t>leika</t>
  </si>
  <si>
    <t>to play a game, especially a board game or sport</t>
  </si>
  <si>
    <t>leikr</t>
  </si>
  <si>
    <t>game, sport</t>
  </si>
  <si>
    <t>leikrit</t>
  </si>
  <si>
    <t>a scene, play, or opera</t>
  </si>
  <si>
    <t>leima</t>
  </si>
  <si>
    <t>to think, suppose, or guess</t>
  </si>
  <si>
    <t>lékir-ligt</t>
  </si>
  <si>
    <t>pleasurable, enjoyable (adjective); lovely, warm, or pleasant (adjective)</t>
  </si>
  <si>
    <t>lékir-þræll</t>
  </si>
  <si>
    <t>an offensive term, meaning sex slave (slur, insult)</t>
  </si>
  <si>
    <t>lékirasl</t>
  </si>
  <si>
    <t>pleasure</t>
  </si>
  <si>
    <t>léna</t>
  </si>
  <si>
    <t>to fix, repair, or mend</t>
  </si>
  <si>
    <t>lépa</t>
  </si>
  <si>
    <t>to read</t>
  </si>
  <si>
    <t>léska</t>
  </si>
  <si>
    <t>to please or pleasure; to exite</t>
  </si>
  <si>
    <t>léttr</t>
  </si>
  <si>
    <t>easy, simple (adjective)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</si>
  <si>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</si>
  <si>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</si>
  <si>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</si>
  <si>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</si>
  <si>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</si>
  <si>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</si>
  <si>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</si>
  <si>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</si>
  <si>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hófninu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</si>
  <si>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</si>
  <si>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</si>
  <si>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</si>
  <si>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</si>
  <si>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</si>
  <si>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</si>
  <si>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</si>
  <si>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</si>
  <si>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</si>
  <si>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</si>
  <si>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</si>
  <si>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</si>
  <si>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</si>
  <si>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</si>
  <si>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color</t>
  </si>
  <si>
    <t>lítill</t>
  </si>
  <si>
    <t>small, little (adjective) | stem: lítt</t>
  </si>
  <si>
    <t>lítill hreispr</t>
  </si>
  <si>
    <t>pony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</si>
  <si>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</si>
  <si>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</si>
  <si>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</si>
  <si>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</si>
  <si>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</si>
  <si>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</si>
  <si>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</si>
  <si>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</si>
  <si>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</si>
  <si>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</si>
  <si>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</si>
  <si>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</si>
  <si>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</t>
  </si>
  <si>
    <t>a soft light, often used to refer to moonlight</t>
  </si>
  <si>
    <t>lödd</t>
  </si>
  <si>
    <t>left as in the direction (noun, adjective)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</si>
  <si>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</si>
  <si>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</si>
  <si>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</si>
  <si>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</si>
  <si>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</si>
  <si>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</si>
  <si>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</si>
  <si>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</si>
  <si>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</si>
  <si>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</si>
  <si>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</si>
  <si>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</si>
  <si>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</si>
  <si>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</si>
  <si>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</si>
  <si>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to be allowed by law (adjective)</t>
  </si>
  <si>
    <t>lok</t>
  </si>
  <si>
    <t>the end, tip, or point of a thing, such as a rope, pole, sword, or staff</t>
  </si>
  <si>
    <t>lók-maðr</t>
  </si>
  <si>
    <t>guard (occupation), patroller, ranger</t>
  </si>
  <si>
    <t>lóka</t>
  </si>
  <si>
    <t>to watch, gaze, or observe; to intentionally look at</t>
  </si>
  <si>
    <t>lóp-ligt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</si>
  <si>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</si>
  <si>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</si>
  <si>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</si>
  <si>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</si>
  <si>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</si>
  <si>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</si>
  <si>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</si>
  <si>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</si>
  <si>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</si>
  <si>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</si>
  <si>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</si>
  <si>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</si>
  <si>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</si>
  <si>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</si>
  <si>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</si>
  <si>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</si>
  <si>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</si>
  <si>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</si>
  <si>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</si>
  <si>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</si>
  <si>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</si>
  <si>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lyga</t>
  </si>
  <si>
    <t>to lie, to deceive</t>
  </si>
  <si>
    <t>lyki</t>
  </si>
  <si>
    <t>smell, smell of; a scent or aroma (noun)</t>
  </si>
  <si>
    <t>lyng</t>
  </si>
  <si>
    <t>heather, heath; undergrowth; vegetation that usually don't grow higher than your knees | plural is the same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</si>
  <si>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</si>
  <si>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</si>
  <si>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</si>
  <si>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</si>
  <si>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</si>
  <si>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</si>
  <si>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</si>
  <si>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</si>
  <si>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</si>
  <si>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</si>
  <si>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maðva</t>
  </si>
  <si>
    <t>to infect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</si>
  <si>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</si>
  <si>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</si>
  <si>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</si>
  <si>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</si>
  <si>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</si>
  <si>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</t>
  </si>
  <si>
    <t>mænínga</t>
  </si>
  <si>
    <t>about, properties</t>
  </si>
  <si>
    <t>mænt</t>
  </si>
  <si>
    <t>crushed and ground power of herbs or other organic material</t>
  </si>
  <si>
    <t>mæpa</t>
  </si>
  <si>
    <t>one's interest or focus; to focus or concentrate</t>
  </si>
  <si>
    <t>mæra</t>
  </si>
  <si>
    <t>to mean something</t>
  </si>
  <si>
    <t>mæri</t>
  </si>
  <si>
    <t>the meaning of, what someone is talking about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</si>
  <si>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</si>
  <si>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</si>
  <si>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</si>
  <si>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</si>
  <si>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</si>
  <si>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</si>
  <si>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</si>
  <si>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</si>
  <si>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magn</t>
  </si>
  <si>
    <t>main, central, major, focus, official (noun, adjective)</t>
  </si>
  <si>
    <t>mákar</t>
  </si>
  <si>
    <t>many, several, a lot, a high amount of (adjective)</t>
  </si>
  <si>
    <t>mál-verkr</t>
  </si>
  <si>
    <t>painting, drawing</t>
  </si>
  <si>
    <t>málning</t>
  </si>
  <si>
    <t>paint (noun)</t>
  </si>
  <si>
    <t>mand-hlett</t>
  </si>
  <si>
    <t>human</t>
  </si>
  <si>
    <t>mand-öspa</t>
  </si>
  <si>
    <t>humanoid</t>
  </si>
  <si>
    <t>manda-ljofnir</t>
  </si>
  <si>
    <t>manticore</t>
  </si>
  <si>
    <t>mandr/maðr</t>
  </si>
  <si>
    <t>humanoid male, man</t>
  </si>
  <si>
    <t>manna</t>
  </si>
  <si>
    <t>food</t>
  </si>
  <si>
    <t>manna-hýs</t>
  </si>
  <si>
    <t>tavern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</si>
  <si>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</si>
  <si>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</si>
  <si>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</si>
  <si>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</si>
  <si>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</si>
  <si>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</si>
  <si>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</si>
  <si>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</si>
  <si>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</si>
  <si>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</si>
  <si>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</si>
  <si>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</si>
  <si>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méðr</t>
  </si>
  <si>
    <t>minute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</si>
  <si>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</si>
  <si>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</si>
  <si>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</si>
  <si>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</si>
  <si>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</si>
  <si>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</si>
  <si>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</si>
  <si>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</si>
  <si>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</si>
  <si>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</si>
  <si>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</si>
  <si>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</si>
  <si>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melðan</t>
  </si>
  <si>
    <t>days of yore; old or bygone times; ancient times</t>
  </si>
  <si>
    <t>melóna</t>
  </si>
  <si>
    <t>mellon</t>
  </si>
  <si>
    <t>mena</t>
  </si>
  <si>
    <t>to remember, or recall</t>
  </si>
  <si>
    <t>mening eip</t>
  </si>
  <si>
    <t>memory enhancing herb</t>
  </si>
  <si>
    <t>mént</t>
  </si>
  <si>
    <t>light as in weight, not heavy (adjective)</t>
  </si>
  <si>
    <t>mér</t>
  </si>
  <si>
    <t>i, me (dative)</t>
  </si>
  <si>
    <t>merki</t>
  </si>
  <si>
    <t>banner, standard</t>
  </si>
  <si>
    <t>mérnd</t>
  </si>
  <si>
    <t>metal</t>
  </si>
  <si>
    <t>mértauss-akri</t>
  </si>
  <si>
    <t>songbird; a bird that sings</t>
  </si>
  <si>
    <t>meta</t>
  </si>
  <si>
    <t>to join, to add</t>
  </si>
  <si>
    <t>metla</t>
  </si>
  <si>
    <t>to teach</t>
  </si>
  <si>
    <t>metla-maðr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</si>
  <si>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</si>
  <si>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</si>
  <si>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</si>
  <si>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</si>
  <si>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</si>
  <si>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</si>
  <si>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</si>
  <si>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</si>
  <si>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</si>
  <si>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</si>
  <si>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</si>
  <si>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</si>
  <si>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</si>
  <si>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</si>
  <si>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</si>
  <si>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</si>
  <si>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</si>
  <si>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mind-kefi</t>
  </si>
  <si>
    <t>cowardice</t>
  </si>
  <si>
    <t>mind-leiða</t>
  </si>
  <si>
    <t>to negotiate; to discuss or talk about something to agree on</t>
  </si>
  <si>
    <t>mind-ligt</t>
  </si>
  <si>
    <t>beautiful, handsome (adjective)</t>
  </si>
  <si>
    <t>mind-vópa</t>
  </si>
  <si>
    <t>to possess or charm; to magically control one's mind; to use mind control on</t>
  </si>
  <si>
    <t>mindkefingi</t>
  </si>
  <si>
    <t>coward</t>
  </si>
  <si>
    <t>mindkefligt</t>
  </si>
  <si>
    <t>cowardly (adjective)</t>
  </si>
  <si>
    <t>mindr</t>
  </si>
  <si>
    <t>mind, thoughts</t>
  </si>
  <si>
    <t>minn</t>
  </si>
  <si>
    <t>i, me, my, mine (possessive case) | standalone case = minns</t>
  </si>
  <si>
    <t>mirða</t>
  </si>
  <si>
    <t>to dig</t>
  </si>
  <si>
    <t>mískr</t>
  </si>
  <si>
    <t>bee</t>
  </si>
  <si>
    <t>místra</t>
  </si>
  <si>
    <t>mystery, unknown thing, enigma</t>
  </si>
  <si>
    <t>místra-ligt</t>
  </si>
  <si>
    <t>mysterious (adjective)</t>
  </si>
  <si>
    <t>mjá</t>
  </si>
  <si>
    <t>to meow (verb); a meow (noun); meow, cat's meow (interjection)</t>
  </si>
  <si>
    <t>mjódd</t>
  </si>
  <si>
    <t>narrow (adjective)</t>
  </si>
  <si>
    <t>mjöðm</t>
  </si>
  <si>
    <t>hip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</si>
  <si>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</si>
  <si>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</si>
  <si>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</si>
  <si>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</si>
  <si>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</si>
  <si>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</si>
  <si>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</si>
  <si>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</si>
  <si>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</si>
  <si>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</si>
  <si>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mjortr</t>
  </si>
  <si>
    <t>tile, brick</t>
  </si>
  <si>
    <t>mjúkr</t>
  </si>
  <si>
    <t>weak, tender, soft, gentle (adjective); weak in a non-condescending manner (adjective)</t>
  </si>
  <si>
    <t>möðriss</t>
  </si>
  <si>
    <t>mother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</si>
  <si>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</si>
  <si>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</si>
  <si>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</si>
  <si>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</si>
  <si>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</si>
  <si>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</si>
  <si>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</si>
  <si>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mouse, rat</t>
  </si>
  <si>
    <t>mól</t>
  </si>
  <si>
    <t>pale in color (adjective)</t>
  </si>
  <si>
    <t>molna</t>
  </si>
  <si>
    <t>to crumble or break down; to disintegrate, to turn to dust</t>
  </si>
  <si>
    <t>mor</t>
  </si>
  <si>
    <t>more (adjective, adverb)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</si>
  <si>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</si>
  <si>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</si>
  <si>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</si>
  <si>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</si>
  <si>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</si>
  <si>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</si>
  <si>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</si>
  <si>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</si>
  <si>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</si>
  <si>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</si>
  <si>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</si>
  <si>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</si>
  <si>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</si>
  <si>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</si>
  <si>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</si>
  <si>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</si>
  <si>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</si>
  <si>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</si>
  <si>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</si>
  <si>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</si>
  <si>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múra</t>
  </si>
  <si>
    <t>to dream</t>
  </si>
  <si>
    <t>murga</t>
  </si>
  <si>
    <t>to rub</t>
  </si>
  <si>
    <t>múring</t>
  </si>
  <si>
    <t>a dream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</si>
  <si>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</si>
  <si>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</si>
  <si>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</si>
  <si>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</si>
  <si>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</si>
  <si>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</si>
  <si>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</si>
  <si>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</si>
  <si>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</si>
  <si>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</si>
  <si>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</si>
  <si>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</si>
  <si>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</si>
  <si>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</si>
  <si>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</si>
  <si>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</si>
  <si>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</si>
  <si>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</si>
  <si>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</si>
  <si>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</si>
  <si>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</si>
  <si>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</si>
  <si>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</si>
  <si>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</si>
  <si>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</si>
  <si>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</si>
  <si>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</si>
  <si>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</si>
  <si>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</si>
  <si>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</si>
  <si>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</si>
  <si>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</si>
  <si>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</si>
  <si>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</si>
  <si>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</si>
  <si>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</si>
  <si>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</si>
  <si>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</si>
  <si>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</si>
  <si>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</si>
  <si>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</si>
  <si>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</si>
  <si>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</si>
  <si>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</si>
  <si>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</si>
  <si>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</si>
  <si>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</si>
  <si>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</si>
  <si>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</si>
  <si>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</si>
  <si>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</si>
  <si>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</si>
  <si>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</si>
  <si>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</si>
  <si>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</si>
  <si>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</si>
  <si>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</si>
  <si>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</si>
  <si>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</si>
  <si>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</si>
  <si>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</si>
  <si>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</si>
  <si>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</si>
  <si>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(adjective, adverb) | noun = nérran</t>
  </si>
  <si>
    <t>nidd</t>
  </si>
  <si>
    <t>common, normal, average, mundane (adjective)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</si>
  <si>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</si>
  <si>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</si>
  <si>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</si>
  <si>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</si>
  <si>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</si>
  <si>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</si>
  <si>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</si>
  <si>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</si>
  <si>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</si>
  <si>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</si>
  <si>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</si>
  <si>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</si>
  <si>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</si>
  <si>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</si>
  <si>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</si>
  <si>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</si>
  <si>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</si>
  <si>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</si>
  <si>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</si>
  <si>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</si>
  <si>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</si>
  <si>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</si>
  <si>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</si>
  <si>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</si>
  <si>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</si>
  <si>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</t>
  </si>
  <si>
    <t>nóstinn</t>
  </si>
  <si>
    <t>the last one (noun)</t>
  </si>
  <si>
    <t>nóstr</t>
  </si>
  <si>
    <t>last (as in a list) (adjective)</t>
  </si>
  <si>
    <t>nöxta</t>
  </si>
  <si>
    <t>fiend, demon, devil</t>
  </si>
  <si>
    <t>nú</t>
  </si>
  <si>
    <t>now (adverb)</t>
  </si>
  <si>
    <t>núða</t>
  </si>
  <si>
    <t>to grind or crush</t>
  </si>
  <si>
    <t>núl-júð</t>
  </si>
  <si>
    <t>despair, hopelessness</t>
  </si>
  <si>
    <t>numbast</t>
  </si>
  <si>
    <t>bomb, explosive</t>
  </si>
  <si>
    <t>núna</t>
  </si>
  <si>
    <t>now, the present time (noun)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</si>
  <si>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</si>
  <si>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</si>
  <si>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</si>
  <si>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</si>
  <si>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</si>
  <si>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</si>
  <si>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</si>
  <si>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</si>
  <si>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</si>
  <si>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</si>
  <si>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</si>
  <si>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</si>
  <si>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</si>
  <si>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</si>
  <si>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</si>
  <si>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</si>
  <si>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</si>
  <si>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</si>
  <si>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</si>
  <si>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</si>
  <si>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</si>
  <si>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</si>
  <si>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</si>
  <si>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</si>
  <si>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</si>
  <si>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</si>
  <si>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nýn-landr</t>
  </si>
  <si>
    <t>island</t>
  </si>
  <si>
    <t>nýnr</t>
  </si>
  <si>
    <t>alone, lone, lonely (adjective)</t>
  </si>
  <si>
    <t>nyr</t>
  </si>
  <si>
    <t>moth</t>
  </si>
  <si>
    <t>nyrt</t>
  </si>
  <si>
    <t>direction, side</t>
  </si>
  <si>
    <t>nýt-ligt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</si>
  <si>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</si>
  <si>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</si>
  <si>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</si>
  <si>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</si>
  <si>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</si>
  <si>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</si>
  <si>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</si>
  <si>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</si>
  <si>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</si>
  <si>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</si>
  <si>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</si>
  <si>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ó-kjóstaligt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</si>
  <si>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</si>
  <si>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</si>
  <si>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</si>
  <si>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</si>
  <si>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</si>
  <si>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</si>
  <si>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</si>
  <si>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</si>
  <si>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</si>
  <si>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ó-þöllingligt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</si>
  <si>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</si>
  <si>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</si>
  <si>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</si>
  <si>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</si>
  <si>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</si>
  <si>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</si>
  <si>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</si>
  <si>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</si>
  <si>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</si>
  <si>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</si>
  <si>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</si>
  <si>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</t>
  </si>
  <si>
    <t>a religious sacrifice</t>
  </si>
  <si>
    <t>ofsi</t>
  </si>
  <si>
    <t>evil (noun)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</si>
  <si>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</si>
  <si>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</si>
  <si>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</si>
  <si>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</si>
  <si>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</si>
  <si>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</si>
  <si>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</si>
  <si>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</si>
  <si>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</si>
  <si>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</si>
  <si>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</si>
  <si>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</si>
  <si>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</si>
  <si>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</si>
  <si>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</si>
  <si>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</si>
  <si>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</si>
  <si>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</si>
  <si>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</si>
  <si>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</si>
  <si>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</si>
  <si>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</si>
  <si>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</si>
  <si>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</si>
  <si>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öl-gluppið-ligt</t>
  </si>
  <si>
    <t>drunk, intoxicated (adjective)</t>
  </si>
  <si>
    <t>öl-hletti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</si>
  <si>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</si>
  <si>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</si>
  <si>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</si>
  <si>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</si>
  <si>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</si>
  <si>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</si>
  <si>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</si>
  <si>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öma</t>
  </si>
  <si>
    <t>to moan or groan</t>
  </si>
  <si>
    <t>ömbundi</t>
  </si>
  <si>
    <t>throat</t>
  </si>
  <si>
    <t>ömm</t>
  </si>
  <si>
    <t>a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</si>
  <si>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</si>
  <si>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</si>
  <si>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</si>
  <si>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</si>
  <si>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</si>
  <si>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</si>
  <si>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</si>
  <si>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</si>
  <si>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</si>
  <si>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</si>
  <si>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opp</t>
  </si>
  <si>
    <t>an opening; a natural hole, such as a cave entrance, a volcanic crater, or someone's mouth</t>
  </si>
  <si>
    <t>ór</t>
  </si>
  <si>
    <t>or (conjunction)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</si>
  <si>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</si>
  <si>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</si>
  <si>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</si>
  <si>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</si>
  <si>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</si>
  <si>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</si>
  <si>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</si>
  <si>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</si>
  <si>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</si>
  <si>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</si>
  <si>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</si>
  <si>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</si>
  <si>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</si>
  <si>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</si>
  <si>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</si>
  <si>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</si>
  <si>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</si>
  <si>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</si>
  <si>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</si>
  <si>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</si>
  <si>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</si>
  <si>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</si>
  <si>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</si>
  <si>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</si>
  <si>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</si>
  <si>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</si>
  <si>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</si>
  <si>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</si>
  <si>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öspa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</si>
  <si>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</si>
  <si>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</si>
  <si>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</si>
  <si>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</si>
  <si>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</si>
  <si>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</si>
  <si>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</si>
  <si>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</si>
  <si>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</si>
  <si>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ött</t>
  </si>
  <si>
    <t>only, just, merely (adjective, adverb)</t>
  </si>
  <si>
    <t>óttr</t>
  </si>
  <si>
    <t>a bite</t>
  </si>
  <si>
    <t>övi</t>
  </si>
  <si>
    <t>bug, insect</t>
  </si>
  <si>
    <t>öx</t>
  </si>
  <si>
    <t>axe (weapon)</t>
  </si>
  <si>
    <t>öxull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</si>
  <si>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</si>
  <si>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</si>
  <si>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</si>
  <si>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</si>
  <si>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</si>
  <si>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</si>
  <si>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</si>
  <si>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</si>
  <si>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</si>
  <si>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</si>
  <si>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</si>
  <si>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</si>
  <si>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</si>
  <si>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</si>
  <si>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</si>
  <si>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</si>
  <si>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</si>
  <si>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</si>
  <si>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</si>
  <si>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</si>
  <si>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</si>
  <si>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</si>
  <si>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</si>
  <si>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</si>
  <si>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</si>
  <si>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</si>
  <si>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 (singular noun)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</si>
  <si>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</si>
  <si>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</si>
  <si>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</si>
  <si>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</si>
  <si>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</si>
  <si>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</si>
  <si>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</si>
  <si>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</si>
  <si>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</si>
  <si>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</si>
  <si>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</si>
  <si>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</si>
  <si>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</si>
  <si>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</si>
  <si>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</si>
  <si>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</si>
  <si>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</si>
  <si>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</si>
  <si>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</si>
  <si>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</si>
  <si>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</si>
  <si>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</si>
  <si>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</si>
  <si>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</si>
  <si>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</si>
  <si>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</si>
  <si>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</si>
  <si>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</si>
  <si>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</si>
  <si>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</si>
  <si>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</si>
  <si>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</si>
  <si>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</si>
  <si>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</si>
  <si>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</si>
  <si>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</si>
  <si>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</si>
  <si>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</si>
  <si>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</si>
  <si>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</si>
  <si>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</si>
  <si>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</si>
  <si>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</si>
  <si>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</si>
  <si>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</si>
  <si>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</si>
  <si>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</si>
  <si>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</si>
  <si>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</si>
  <si>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</si>
  <si>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</si>
  <si>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</si>
  <si>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prjál</t>
  </si>
  <si>
    <t>to show manners to; to respect; to behave properly; to be tame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</si>
  <si>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</si>
  <si>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</si>
  <si>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</si>
  <si>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</si>
  <si>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</si>
  <si>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</si>
  <si>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</si>
  <si>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</si>
  <si>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</si>
  <si>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</si>
  <si>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prór-dagr</t>
  </si>
  <si>
    <t>yesterday (noun)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</si>
  <si>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</si>
  <si>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</si>
  <si>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</si>
  <si>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</si>
  <si>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</si>
  <si>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</si>
  <si>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</si>
  <si>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</si>
  <si>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</si>
  <si>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</si>
  <si>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</si>
  <si>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</si>
  <si>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</si>
  <si>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</si>
  <si>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</si>
  <si>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</si>
  <si>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</si>
  <si>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</si>
  <si>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pyz</t>
  </si>
  <si>
    <t>spicy (taste) (adjective)</t>
  </si>
  <si>
    <t>rabba</t>
  </si>
  <si>
    <t>to gibber; to make nonsensical noises with one's mouth</t>
  </si>
  <si>
    <t>raða</t>
  </si>
  <si>
    <t>to sort or order</t>
  </si>
  <si>
    <t>ræga</t>
  </si>
  <si>
    <t>to rule or reign</t>
  </si>
  <si>
    <t>rægr</t>
  </si>
  <si>
    <t>reign, domination, control, power</t>
  </si>
  <si>
    <t>ræsta</t>
  </si>
  <si>
    <t>to try, to test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</si>
  <si>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</si>
  <si>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</si>
  <si>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</si>
  <si>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</si>
  <si>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</si>
  <si>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</si>
  <si>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</si>
  <si>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</si>
  <si>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rala</t>
  </si>
  <si>
    <t>to inspire, motivate, arouse, or stir</t>
  </si>
  <si>
    <t>ralza</t>
  </si>
  <si>
    <t>to rally or to motivate; to boost one's morale; to call together</t>
  </si>
  <si>
    <t>rana</t>
  </si>
  <si>
    <t>to promise</t>
  </si>
  <si>
    <t>ráni</t>
  </si>
  <si>
    <t>moon</t>
  </si>
  <si>
    <t>raning</t>
  </si>
  <si>
    <t>a promise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</si>
  <si>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</si>
  <si>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</si>
  <si>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</si>
  <si>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</si>
  <si>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</si>
  <si>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</si>
  <si>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</si>
  <si>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</si>
  <si>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rauð-beru</t>
  </si>
  <si>
    <t>cherry (the fruit)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</si>
  <si>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</si>
  <si>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</si>
  <si>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</si>
  <si>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</si>
  <si>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</si>
  <si>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</si>
  <si>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</si>
  <si>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</si>
  <si>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</si>
  <si>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</si>
  <si>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</si>
  <si>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</si>
  <si>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</si>
  <si>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</si>
  <si>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</si>
  <si>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</si>
  <si>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</si>
  <si>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</si>
  <si>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renda</t>
  </si>
  <si>
    <t>to drain</t>
  </si>
  <si>
    <t>réttr</t>
  </si>
  <si>
    <t>to be correct or true; to be right or just; (adjective)</t>
  </si>
  <si>
    <t>reysa</t>
  </si>
  <si>
    <t>to travel</t>
  </si>
  <si>
    <t>reyskarta</t>
  </si>
  <si>
    <t>to exile or banish</t>
  </si>
  <si>
    <t>rigta</t>
  </si>
  <si>
    <t>to revive</t>
  </si>
  <si>
    <t>rilm</t>
  </si>
  <si>
    <t>city</t>
  </si>
  <si>
    <t>rímmr</t>
  </si>
  <si>
    <t>right as in the direction (noun, adjective)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</si>
  <si>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</si>
  <si>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</si>
  <si>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</si>
  <si>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</si>
  <si>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</si>
  <si>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</si>
  <si>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</si>
  <si>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</si>
  <si>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</si>
  <si>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</si>
  <si>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</si>
  <si>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</si>
  <si>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rofta</t>
  </si>
  <si>
    <t>to transform, or turn into; to become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</si>
  <si>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</si>
  <si>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</si>
  <si>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</si>
  <si>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</si>
  <si>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</si>
  <si>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</si>
  <si>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</si>
  <si>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</si>
  <si>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</si>
  <si>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</si>
  <si>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</si>
  <si>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</si>
  <si>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Romaþungr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</si>
  <si>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</si>
  <si>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</si>
  <si>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</si>
  <si>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</si>
  <si>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</si>
  <si>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</si>
  <si>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</si>
  <si>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</si>
  <si>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</si>
  <si>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</si>
  <si>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</si>
  <si>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</si>
  <si>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</si>
  <si>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</si>
  <si>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</si>
  <si>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</si>
  <si>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</si>
  <si>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</si>
  <si>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</si>
  <si>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</si>
  <si>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</si>
  <si>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</si>
  <si>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</si>
  <si>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</si>
  <si>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</si>
  <si>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</si>
  <si>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</si>
  <si>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</si>
  <si>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</si>
  <si>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</si>
  <si>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</si>
  <si>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</si>
  <si>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</si>
  <si>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</si>
  <si>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</si>
  <si>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</si>
  <si>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</si>
  <si>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</si>
  <si>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</si>
  <si>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</si>
  <si>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</si>
  <si>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athylgi</t>
  </si>
  <si>
    <t>to get attention</t>
  </si>
  <si>
    <t>saft</t>
  </si>
  <si>
    <t>dry (adjective)</t>
  </si>
  <si>
    <t>safta</t>
  </si>
  <si>
    <t>to dry</t>
  </si>
  <si>
    <t>sága</t>
  </si>
  <si>
    <t>story, tale</t>
  </si>
  <si>
    <t>ságatr</t>
  </si>
  <si>
    <t>height</t>
  </si>
  <si>
    <t>sakka</t>
  </si>
  <si>
    <t>to thank</t>
  </si>
  <si>
    <t>sálerni</t>
  </si>
  <si>
    <t>toilet</t>
  </si>
  <si>
    <t>sam-haldr</t>
  </si>
  <si>
    <t>a duel</t>
  </si>
  <si>
    <t>sam-rasta</t>
  </si>
  <si>
    <t>to duel</t>
  </si>
  <si>
    <t>sama</t>
  </si>
  <si>
    <t>to equal, to be the same as; same, equal (adjective)</t>
  </si>
  <si>
    <t>saman</t>
  </si>
  <si>
    <t>together (adjective, adverb); together with (preposition)</t>
  </si>
  <si>
    <t>sápa</t>
  </si>
  <si>
    <t>soap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</si>
  <si>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</si>
  <si>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</si>
  <si>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</si>
  <si>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</si>
  <si>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</si>
  <si>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</si>
  <si>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</si>
  <si>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</si>
  <si>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</si>
  <si>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</si>
  <si>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</si>
  <si>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</si>
  <si>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</si>
  <si>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</si>
  <si>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</si>
  <si>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</si>
  <si>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</si>
  <si>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</si>
  <si>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</si>
  <si>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</si>
  <si>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</si>
  <si>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</si>
  <si>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</si>
  <si>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</si>
  <si>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</si>
  <si>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</si>
  <si>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selja-taling</t>
  </si>
  <si>
    <t>advertisement</t>
  </si>
  <si>
    <t>seljaófns folþröngasl</t>
  </si>
  <si>
    <t>economy</t>
  </si>
  <si>
    <t>sellegta</t>
  </si>
  <si>
    <t>to think and believe; to be convinced</t>
  </si>
  <si>
    <t>seltamun</t>
  </si>
  <si>
    <t>noble (adjective); a nobleman or noblewoman (noun)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</si>
  <si>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</si>
  <si>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</si>
  <si>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</si>
  <si>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</si>
  <si>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</si>
  <si>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</si>
  <si>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</si>
  <si>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</si>
  <si>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</si>
  <si>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</si>
  <si>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ír</t>
  </si>
  <si>
    <t>to submit, to send, to give</t>
  </si>
  <si>
    <t>serkr</t>
  </si>
  <si>
    <t>an undergarment shirt/tunic, usually made of linen or cotton; a chemise or frock</t>
  </si>
  <si>
    <t>sérr</t>
  </si>
  <si>
    <t>here (noun, adverb) | noun = sérran</t>
  </si>
  <si>
    <t>setja</t>
  </si>
  <si>
    <t>to sit; to stay or lay undisturbed | past tense: sat | past participle: satað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</si>
  <si>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</si>
  <si>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</si>
  <si>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</si>
  <si>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</si>
  <si>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</si>
  <si>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</si>
  <si>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</si>
  <si>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</si>
  <si>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</si>
  <si>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</si>
  <si>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</si>
  <si>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</si>
  <si>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</si>
  <si>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</si>
  <si>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sjál</t>
  </si>
  <si>
    <t>cool, grand, amazing (adjective)</t>
  </si>
  <si>
    <t>sjámmunr</t>
  </si>
  <si>
    <t>complex, intricate (adjective)</t>
  </si>
  <si>
    <t>sjándu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</si>
  <si>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</si>
  <si>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</si>
  <si>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</si>
  <si>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</si>
  <si>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</si>
  <si>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</si>
  <si>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</si>
  <si>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sjona</t>
  </si>
  <si>
    <t>to boil</t>
  </si>
  <si>
    <t>sjota-skjorð</t>
  </si>
  <si>
    <t>shortsword (weapon)</t>
  </si>
  <si>
    <t>sjottr</t>
  </si>
  <si>
    <t>short (adjective)</t>
  </si>
  <si>
    <t>skaðm</t>
  </si>
  <si>
    <t>character of story</t>
  </si>
  <si>
    <t>skæmba</t>
  </si>
  <si>
    <t>stew</t>
  </si>
  <si>
    <t>skaldaligt</t>
  </si>
  <si>
    <t>imaginary, fictional, made up, fake, story-like (adjective)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</si>
  <si>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</si>
  <si>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</si>
  <si>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</si>
  <si>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</si>
  <si>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</si>
  <si>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</si>
  <si>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</si>
  <si>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</si>
  <si>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</si>
  <si>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</si>
  <si>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</si>
  <si>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</si>
  <si>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</si>
  <si>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</si>
  <si>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</si>
  <si>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</si>
  <si>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</si>
  <si>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</si>
  <si>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</si>
  <si>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</si>
  <si>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</si>
  <si>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</si>
  <si>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</si>
  <si>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</si>
  <si>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</si>
  <si>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</si>
  <si>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</si>
  <si>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</si>
  <si>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</si>
  <si>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</si>
  <si>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skóðasl</t>
  </si>
  <si>
    <t>literature</t>
  </si>
  <si>
    <t>skóði</t>
  </si>
  <si>
    <t>poem</t>
  </si>
  <si>
    <t>skolu</t>
  </si>
  <si>
    <t>shall, must, have to (auxiliary) | question form: skoluðú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</si>
  <si>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</si>
  <si>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</si>
  <si>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</si>
  <si>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</si>
  <si>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</si>
  <si>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</si>
  <si>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</si>
  <si>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</si>
  <si>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</si>
  <si>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</si>
  <si>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</si>
  <si>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</si>
  <si>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</si>
  <si>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</si>
  <si>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</si>
  <si>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</si>
  <si>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</si>
  <si>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</si>
  <si>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</si>
  <si>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</si>
  <si>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skríng-meyja</t>
  </si>
  <si>
    <t>shieldmaiden, female warrior or fighter</t>
  </si>
  <si>
    <t>skringr</t>
  </si>
  <si>
    <t>shield</t>
  </si>
  <si>
    <t>skrófr</t>
  </si>
  <si>
    <t>claw</t>
  </si>
  <si>
    <t>skröja</t>
  </si>
  <si>
    <t>lute</t>
  </si>
  <si>
    <t>skrúna</t>
  </si>
  <si>
    <t>scroll</t>
  </si>
  <si>
    <t>skrúna-maðr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</si>
  <si>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</si>
  <si>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</si>
  <si>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</si>
  <si>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</si>
  <si>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</si>
  <si>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</si>
  <si>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</si>
  <si>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</si>
  <si>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</si>
  <si>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skungr</t>
  </si>
  <si>
    <t>forest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</si>
  <si>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</si>
  <si>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</si>
  <si>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</si>
  <si>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</si>
  <si>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</si>
  <si>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</si>
  <si>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</si>
  <si>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</si>
  <si>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</si>
  <si>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</si>
  <si>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slæfn</t>
  </si>
  <si>
    <t>face</t>
  </si>
  <si>
    <t>slæfnhjálmr</t>
  </si>
  <si>
    <t>sutton hoo helmet, face helmet</t>
  </si>
  <si>
    <t>slæka</t>
  </si>
  <si>
    <t>to disturb, bother, or upset</t>
  </si>
  <si>
    <t>slæka-bémm</t>
  </si>
  <si>
    <t>ruckus, sound/noise disturbance, commotion</t>
  </si>
  <si>
    <t>slæki</t>
  </si>
  <si>
    <t>silk</t>
  </si>
  <si>
    <t>slag</t>
  </si>
  <si>
    <t>a strike or blow; a smite</t>
  </si>
  <si>
    <t>slangr</t>
  </si>
  <si>
    <t>a slope, an uphill or downhill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</si>
  <si>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</si>
  <si>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</si>
  <si>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</si>
  <si>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</si>
  <si>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</si>
  <si>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</si>
  <si>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</si>
  <si>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</si>
  <si>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</si>
  <si>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</si>
  <si>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</si>
  <si>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</si>
  <si>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</si>
  <si>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</si>
  <si>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</si>
  <si>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</si>
  <si>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</si>
  <si>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</si>
  <si>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</si>
  <si>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</si>
  <si>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</si>
  <si>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</si>
  <si>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</si>
  <si>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</si>
  <si>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</si>
  <si>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</si>
  <si>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</si>
  <si>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</si>
  <si>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</si>
  <si>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</si>
  <si>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</si>
  <si>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</si>
  <si>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</si>
  <si>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</si>
  <si>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snóskr</t>
  </si>
  <si>
    <t>snow</t>
  </si>
  <si>
    <t>snóskr-tælamungr</t>
  </si>
  <si>
    <t>snowstorm, blizzard</t>
  </si>
  <si>
    <t>soðr</t>
  </si>
  <si>
    <t>second</t>
  </si>
  <si>
    <t>sogva</t>
  </si>
  <si>
    <t>to seek, find, or search; to seek to obtain or reach | past tense: sogt</t>
  </si>
  <si>
    <t>söl</t>
  </si>
  <si>
    <t>sun</t>
  </si>
  <si>
    <t>söl-ligt</t>
  </si>
  <si>
    <t>beautiful, gorgeous, striking (this adjective is usually only used to describe other people)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</si>
  <si>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</si>
  <si>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</si>
  <si>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</si>
  <si>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</si>
  <si>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</si>
  <si>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</si>
  <si>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</si>
  <si>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</si>
  <si>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</si>
  <si>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</si>
  <si>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</si>
  <si>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</si>
  <si>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</si>
  <si>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</si>
  <si>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</si>
  <si>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</si>
  <si>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</si>
  <si>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</si>
  <si>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</si>
  <si>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(noun, adjective)</t>
  </si>
  <si>
    <t>spoll-dagr</t>
  </si>
  <si>
    <t>evening</t>
  </si>
  <si>
    <t>sríkk</t>
  </si>
  <si>
    <t>claw, talon</t>
  </si>
  <si>
    <t>staðr</t>
  </si>
  <si>
    <t>place, location</t>
  </si>
  <si>
    <t>staka</t>
  </si>
  <si>
    <t>to push or press</t>
  </si>
  <si>
    <t>stárr</t>
  </si>
  <si>
    <t>big, large, strong, sturdy (adjective)</t>
  </si>
  <si>
    <t>stata</t>
  </si>
  <si>
    <t>to stand</t>
  </si>
  <si>
    <t>statang-borðar</t>
  </si>
  <si>
    <t>spruce planks</t>
  </si>
  <si>
    <t>statangr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</si>
  <si>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</si>
  <si>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</si>
  <si>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</si>
  <si>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</si>
  <si>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</si>
  <si>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</si>
  <si>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</si>
  <si>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</si>
  <si>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</si>
  <si>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</si>
  <si>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</si>
  <si>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</si>
  <si>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</si>
  <si>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</si>
  <si>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</si>
  <si>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stikk-ligt</t>
  </si>
  <si>
    <t>sudden, instant, immediate (adjective)</t>
  </si>
  <si>
    <t>stikkask</t>
  </si>
  <si>
    <t>to quicken</t>
  </si>
  <si>
    <t>stikkr</t>
  </si>
  <si>
    <t>quick (adverb)</t>
  </si>
  <si>
    <t>stjarka</t>
  </si>
  <si>
    <t>to blame or accuse</t>
  </si>
  <si>
    <t>stjúga</t>
  </si>
  <si>
    <t>to trip over from something</t>
  </si>
  <si>
    <t>stöðing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</si>
  <si>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</si>
  <si>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</si>
  <si>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</si>
  <si>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</si>
  <si>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</si>
  <si>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</t>
  </si>
  <si>
    <t>a star | plural: stögir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</si>
  <si>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</si>
  <si>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</si>
  <si>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</si>
  <si>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</si>
  <si>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</si>
  <si>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</si>
  <si>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stræka</t>
  </si>
  <si>
    <t>reputation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</si>
  <si>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</si>
  <si>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</si>
  <si>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</si>
  <si>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</si>
  <si>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</si>
  <si>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</si>
  <si>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</si>
  <si>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</si>
  <si>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</si>
  <si>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</si>
  <si>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</si>
  <si>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</t>
  </si>
  <si>
    <t>summ</t>
  </si>
  <si>
    <t>some (adjective)</t>
  </si>
  <si>
    <t>summ-mel</t>
  </si>
  <si>
    <t>sometimes, ocasionally (adverb)</t>
  </si>
  <si>
    <t>svá-ligt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</si>
  <si>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</si>
  <si>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</si>
  <si>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</si>
  <si>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</si>
  <si>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</si>
  <si>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</si>
  <si>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</si>
  <si>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</si>
  <si>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</si>
  <si>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</si>
  <si>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</si>
  <si>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</si>
  <si>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</si>
  <si>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</si>
  <si>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</si>
  <si>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svík-maðr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</si>
  <si>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</si>
  <si>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</si>
  <si>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</si>
  <si>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</si>
  <si>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</si>
  <si>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</si>
  <si>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</si>
  <si>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</si>
  <si>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</si>
  <si>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</si>
  <si>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</si>
  <si>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</si>
  <si>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</si>
  <si>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</si>
  <si>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</si>
  <si>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</si>
  <si>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</si>
  <si>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</si>
  <si>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</si>
  <si>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</si>
  <si>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</si>
  <si>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</si>
  <si>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</si>
  <si>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</si>
  <si>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</si>
  <si>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</si>
  <si>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</si>
  <si>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</si>
  <si>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</si>
  <si>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</si>
  <si>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talk, or say</t>
  </si>
  <si>
    <t>tamr</t>
  </si>
  <si>
    <t>tame, not wild; obedient, docile, disciplined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</si>
  <si>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</si>
  <si>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</si>
  <si>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</si>
  <si>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</si>
  <si>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</si>
  <si>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</si>
  <si>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</si>
  <si>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</si>
  <si>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te</t>
  </si>
  <si>
    <t>tea (see declension tables)</t>
  </si>
  <si>
    <t>teftingr</t>
  </si>
  <si>
    <t>design, appearance</t>
  </si>
  <si>
    <t>tegn</t>
  </si>
  <si>
    <t>simple, basic, common (adjective)</t>
  </si>
  <si>
    <t>teikr</t>
  </si>
  <si>
    <t>unknown object, thing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</si>
  <si>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</si>
  <si>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</si>
  <si>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</si>
  <si>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</si>
  <si>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</si>
  <si>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</si>
  <si>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</si>
  <si>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</si>
  <si>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</si>
  <si>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</si>
  <si>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</si>
  <si>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</si>
  <si>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</si>
  <si>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</si>
  <si>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</si>
  <si>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</si>
  <si>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</si>
  <si>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</si>
  <si>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</si>
  <si>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</si>
  <si>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</si>
  <si>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</si>
  <si>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</si>
  <si>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</si>
  <si>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</si>
  <si>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</si>
  <si>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</si>
  <si>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</t>
  </si>
  <si>
    <t>töð</t>
  </si>
  <si>
    <t>a knot; a tied knot</t>
  </si>
  <si>
    <t>tókkr</t>
  </si>
  <si>
    <t>sorcery</t>
  </si>
  <si>
    <t>tókkra-maðr</t>
  </si>
  <si>
    <t>sorcerer</t>
  </si>
  <si>
    <t>tól</t>
  </si>
  <si>
    <t>tool (neuter declension)</t>
  </si>
  <si>
    <t>tómt</t>
  </si>
  <si>
    <t>empty, vacant, desolate (adjective)</t>
  </si>
  <si>
    <t>töra</t>
  </si>
  <si>
    <t>glue, sticky substance</t>
  </si>
  <si>
    <t>torpa</t>
  </si>
  <si>
    <t>to torture</t>
  </si>
  <si>
    <t>tös-lín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</si>
  <si>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</si>
  <si>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</si>
  <si>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</si>
  <si>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</si>
  <si>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</si>
  <si>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</si>
  <si>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</si>
  <si>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</si>
  <si>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</si>
  <si>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</si>
  <si>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</si>
  <si>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</si>
  <si>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</si>
  <si>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</si>
  <si>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</si>
  <si>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</si>
  <si>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</si>
  <si>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</si>
  <si>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to believe | past tense: trúði</t>
  </si>
  <si>
    <t>trú-asta</t>
  </si>
  <si>
    <t>to be sure, to be certain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</si>
  <si>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</si>
  <si>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</si>
  <si>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</si>
  <si>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</si>
  <si>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</si>
  <si>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</si>
  <si>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</si>
  <si>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</si>
  <si>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</si>
  <si>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</si>
  <si>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</si>
  <si>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</si>
  <si>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túli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</si>
  <si>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</si>
  <si>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</si>
  <si>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</si>
  <si>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</si>
  <si>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</si>
  <si>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</si>
  <si>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</si>
  <si>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</si>
  <si>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</si>
  <si>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tupla</t>
  </si>
  <si>
    <t>to tighten; to secure, to bind, to tie to</t>
  </si>
  <si>
    <t>tupligt</t>
  </si>
  <si>
    <t>tightly (adjective, adverb)</t>
  </si>
  <si>
    <t>tuplur</t>
  </si>
  <si>
    <t>a bond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</si>
  <si>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</si>
  <si>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</si>
  <si>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</si>
  <si>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</si>
  <si>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</si>
  <si>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</si>
  <si>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</si>
  <si>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</si>
  <si>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</si>
  <si>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</si>
  <si>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</si>
  <si>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</si>
  <si>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</si>
  <si>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</si>
  <si>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</si>
  <si>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</si>
  <si>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</si>
  <si>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</si>
  <si>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</si>
  <si>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</si>
  <si>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</si>
  <si>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</si>
  <si>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úfan-ligt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</si>
  <si>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</si>
  <si>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</si>
  <si>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</si>
  <si>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</si>
  <si>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</si>
  <si>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</si>
  <si>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</si>
  <si>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</si>
  <si>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(adjective, adverb)</t>
  </si>
  <si>
    <t>ugla</t>
  </si>
  <si>
    <t>to puke; to throw up</t>
  </si>
  <si>
    <t>uglur</t>
  </si>
  <si>
    <t>puke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</si>
  <si>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</si>
  <si>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</si>
  <si>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</si>
  <si>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</si>
  <si>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</si>
  <si>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</si>
  <si>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</si>
  <si>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</si>
  <si>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</si>
  <si>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</si>
  <si>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</si>
  <si>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</si>
  <si>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</si>
  <si>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</si>
  <si>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</si>
  <si>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</si>
  <si>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</si>
  <si>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</si>
  <si>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</si>
  <si>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</si>
  <si>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</si>
  <si>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</si>
  <si>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</si>
  <si>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</si>
  <si>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urði</t>
  </si>
  <si>
    <t>fertilizer; something that grants fertility or growth</t>
  </si>
  <si>
    <t>urpi</t>
  </si>
  <si>
    <t>clay</t>
  </si>
  <si>
    <t>urra</t>
  </si>
  <si>
    <t>to snarl</t>
  </si>
  <si>
    <t>úrt-viska</t>
  </si>
  <si>
    <t>to work with effort; to labor</t>
  </si>
  <si>
    <t>úrtr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</si>
  <si>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</si>
  <si>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</si>
  <si>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</si>
  <si>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</si>
  <si>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</si>
  <si>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</si>
  <si>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</si>
  <si>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</si>
  <si>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(preposition); outside space (noun)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</si>
  <si>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</si>
  <si>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</si>
  <si>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</si>
  <si>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</si>
  <si>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</si>
  <si>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</si>
  <si>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</si>
  <si>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</si>
  <si>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</si>
  <si>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</si>
  <si>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</si>
  <si>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</si>
  <si>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úta</t>
  </si>
  <si>
    <t>out from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</si>
  <si>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</si>
  <si>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</si>
  <si>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</si>
  <si>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</si>
  <si>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</si>
  <si>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</si>
  <si>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</si>
  <si>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</si>
  <si>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</si>
  <si>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</si>
  <si>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</si>
  <si>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</si>
  <si>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</si>
  <si>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</si>
  <si>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</si>
  <si>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</si>
  <si>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</si>
  <si>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</si>
  <si>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valdr</t>
  </si>
  <si>
    <t>power, strength (noun); 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</si>
  <si>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</si>
  <si>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</si>
  <si>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</si>
  <si>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</si>
  <si>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</si>
  <si>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</si>
  <si>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</si>
  <si>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</si>
  <si>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</si>
  <si>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</si>
  <si>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</si>
  <si>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</si>
  <si>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</si>
  <si>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</si>
  <si>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vart</t>
  </si>
  <si>
    <t>choice</t>
  </si>
  <si>
    <t>vátin</t>
  </si>
  <si>
    <t>water</t>
  </si>
  <si>
    <t>vátin-dúrtingi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</si>
  <si>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</si>
  <si>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</si>
  <si>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</si>
  <si>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</si>
  <si>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</si>
  <si>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</si>
  <si>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</si>
  <si>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</si>
  <si>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| definitive: veiénn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</si>
  <si>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</si>
  <si>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</si>
  <si>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</si>
  <si>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</si>
  <si>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</si>
  <si>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</si>
  <si>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</si>
  <si>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</si>
  <si>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veikrasling</t>
  </si>
  <si>
    <t>weakness</t>
  </si>
  <si>
    <t>veili</t>
  </si>
  <si>
    <t>water well</t>
  </si>
  <si>
    <t>veirnd</t>
  </si>
  <si>
    <t>steel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</si>
  <si>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</si>
  <si>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</si>
  <si>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</si>
  <si>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</si>
  <si>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</si>
  <si>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</si>
  <si>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</si>
  <si>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</si>
  <si>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</si>
  <si>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</si>
  <si>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</si>
  <si>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</si>
  <si>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</si>
  <si>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</si>
  <si>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</si>
  <si>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</si>
  <si>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</si>
  <si>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</si>
  <si>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verk-magn</t>
  </si>
  <si>
    <t>goal, objective; the focus of a mission, quest, assignment, errand, or task</t>
  </si>
  <si>
    <t>verkr</t>
  </si>
  <si>
    <t>action, deed, doing</t>
  </si>
  <si>
    <t>vérr</t>
  </si>
  <si>
    <t>vein</t>
  </si>
  <si>
    <t>versi</t>
  </si>
  <si>
    <t>a stanza or verse in a poem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</si>
  <si>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</si>
  <si>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</si>
  <si>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</si>
  <si>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</si>
  <si>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</si>
  <si>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</si>
  <si>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vigla</t>
  </si>
  <si>
    <t>to keep or persist in doing (adverb); to continue (verb)</t>
  </si>
  <si>
    <t>vík</t>
  </si>
  <si>
    <t>bay, inlet</t>
  </si>
  <si>
    <t>vikana</t>
  </si>
  <si>
    <t>to win or be victorious; to overcome a dare or challenge; to successfully complete a challenge</t>
  </si>
  <si>
    <t>vilja</t>
  </si>
  <si>
    <t>to want or wish | present tense: vil, vili, vilir | question form: viltú | past tense: vilt | past participle: viltið</t>
  </si>
  <si>
    <t>vinga</t>
  </si>
  <si>
    <t>to long, or to yearn; to deeply want</t>
  </si>
  <si>
    <t>vínn</t>
  </si>
  <si>
    <t>wine</t>
  </si>
  <si>
    <t>vínnmaðr</t>
  </si>
  <si>
    <t>bartender, barkeep, barkeeper</t>
  </si>
  <si>
    <t>virki</t>
  </si>
  <si>
    <t>fortified structure, fortress, mostly used to refer castles</t>
  </si>
  <si>
    <t>virna</t>
  </si>
  <si>
    <t>to need, require, or cost (auxiliary) | question form: virniðú/vyndi þú| present tense: virn, virni, virnir | past tense: vyndi | past participle: vynið</t>
  </si>
  <si>
    <t>vírskjust</t>
  </si>
  <si>
    <t>worst (adjective, adverb)</t>
  </si>
  <si>
    <t>vírskr</t>
  </si>
  <si>
    <t>worse (adjective, adverb)</t>
  </si>
  <si>
    <t>viska</t>
  </si>
  <si>
    <t>to work</t>
  </si>
  <si>
    <t>viskandi-ligt</t>
  </si>
  <si>
    <t>busy, have work (adjective)</t>
  </si>
  <si>
    <t>visknir</t>
  </si>
  <si>
    <t>worker</t>
  </si>
  <si>
    <t>viskr</t>
  </si>
  <si>
    <t>job, occupation</t>
  </si>
  <si>
    <t>vita</t>
  </si>
  <si>
    <t>to know | question form: vitiðú/vissiðú | present tense: vit, viti, vitir | past tense: vissi | past participle: vissið</t>
  </si>
  <si>
    <t>vitl</t>
  </si>
  <si>
    <t>basil (herb)</t>
  </si>
  <si>
    <t>vjakki</t>
  </si>
  <si>
    <t>force (noun)</t>
  </si>
  <si>
    <t>vjútala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</si>
  <si>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</si>
  <si>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</si>
  <si>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</si>
  <si>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</si>
  <si>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</si>
  <si>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</si>
  <si>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</si>
  <si>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</si>
  <si>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</si>
  <si>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</si>
  <si>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</si>
  <si>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</si>
  <si>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</si>
  <si>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</si>
  <si>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</si>
  <si>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</si>
  <si>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</si>
  <si>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</si>
  <si>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</si>
  <si>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</si>
  <si>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</si>
  <si>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</si>
  <si>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</si>
  <si>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</si>
  <si>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</si>
  <si>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</si>
  <si>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</si>
  <si>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vörk-verkr</t>
  </si>
  <si>
    <t>vengeance</t>
  </si>
  <si>
    <t>vörka</t>
  </si>
  <si>
    <t>to return</t>
  </si>
  <si>
    <t>vörnd</t>
  </si>
  <si>
    <t>lyre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</si>
  <si>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</si>
  <si>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</si>
  <si>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</si>
  <si>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</si>
  <si>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</si>
  <si>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</si>
  <si>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</si>
  <si>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</si>
  <si>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voxa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</si>
  <si>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</si>
  <si>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</si>
  <si>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</si>
  <si>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</si>
  <si>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</si>
  <si>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</si>
  <si>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</si>
  <si>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</si>
  <si>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</si>
  <si>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</si>
  <si>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</si>
  <si>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</si>
  <si>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</si>
  <si>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</si>
  <si>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</si>
  <si>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</si>
  <si>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</si>
  <si>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</si>
  <si>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</si>
  <si>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</si>
  <si>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</si>
  <si>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</si>
  <si>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</si>
  <si>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</si>
  <si>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</si>
  <si>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</si>
  <si>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</si>
  <si>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vyllör</t>
  </si>
  <si>
    <t>a willow tree</t>
  </si>
  <si>
    <t>vynt-ligt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</si>
  <si>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</si>
  <si>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</si>
  <si>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</si>
  <si>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</si>
  <si>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</si>
  <si>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</si>
  <si>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</si>
  <si>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vyrkleinn hjálmr</t>
  </si>
  <si>
    <t>gjermundbu helmet</t>
  </si>
  <si>
    <t>výsi</t>
  </si>
  <si>
    <t>manner, wise, the way of, method, practice</t>
  </si>
  <si>
    <t>výss</t>
  </si>
  <si>
    <t>wisdom, insight (noun); wise (adjective)</t>
  </si>
  <si>
    <t>výssing</t>
  </si>
  <si>
    <t>idea, plan</t>
  </si>
  <si>
    <t>ybb-ligt</t>
  </si>
  <si>
    <t>to be nervous or anxious (adjective, adverb)</t>
  </si>
  <si>
    <t>ybbask</t>
  </si>
  <si>
    <t>to worry; to mind, or to worry about; to be nervous</t>
  </si>
  <si>
    <t>ýð</t>
  </si>
  <si>
    <t>gold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</si>
  <si>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</si>
  <si>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</si>
  <si>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</si>
  <si>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</si>
  <si>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</si>
  <si>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</si>
  <si>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</si>
  <si>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</si>
  <si>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</si>
  <si>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</si>
  <si>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</si>
  <si>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</si>
  <si>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</si>
  <si>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</si>
  <si>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</si>
  <si>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</si>
  <si>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</si>
  <si>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</si>
  <si>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</si>
  <si>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</si>
  <si>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</si>
  <si>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</si>
  <si>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</si>
  <si>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</si>
  <si>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</si>
  <si>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</si>
  <si>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</si>
  <si>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</si>
  <si>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</si>
  <si>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from that; thence; the, that, it (possessive) | possessive standalone case = þaðnan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</si>
  <si>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</si>
  <si>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</si>
  <si>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</si>
  <si>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</si>
  <si>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</si>
  <si>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(noun. adverb)</t>
  </si>
  <si>
    <t>þaf-góðr</t>
  </si>
  <si>
    <t>greeting with travellers or visitors</t>
  </si>
  <si>
    <t>þafir</t>
  </si>
  <si>
    <t>far, far away (adjective, adverb)</t>
  </si>
  <si>
    <t>þagi</t>
  </si>
  <si>
    <t>page; a male servant | plural: þagjar</t>
  </si>
  <si>
    <t>þask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</si>
  <si>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</si>
  <si>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</si>
  <si>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</si>
  <si>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</si>
  <si>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</si>
  <si>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</si>
  <si>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</si>
  <si>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</si>
  <si>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</si>
  <si>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þeifa</t>
  </si>
  <si>
    <t>month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</si>
  <si>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</si>
  <si>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</si>
  <si>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</si>
  <si>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</si>
  <si>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</si>
  <si>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</si>
  <si>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</si>
  <si>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</si>
  <si>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</si>
  <si>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</si>
  <si>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</si>
  <si>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</si>
  <si>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</si>
  <si>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</si>
  <si>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</si>
  <si>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</si>
  <si>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</si>
  <si>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</si>
  <si>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</si>
  <si>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</si>
  <si>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</si>
  <si>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</si>
  <si>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</si>
  <si>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</si>
  <si>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</si>
  <si>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</si>
  <si>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</si>
  <si>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</si>
  <si>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þessi, þetta</t>
  </si>
  <si>
    <t>this, this one</t>
  </si>
  <si>
    <t>þessir</t>
  </si>
  <si>
    <t>this, these (plural)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</si>
  <si>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</si>
  <si>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</si>
  <si>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</si>
  <si>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</si>
  <si>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</si>
  <si>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</si>
  <si>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þik</t>
  </si>
  <si>
    <t>you (accusative)</t>
  </si>
  <si>
    <t>þing</t>
  </si>
  <si>
    <t>a thing, or an unknown thing; a meeting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</si>
  <si>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</si>
  <si>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</si>
  <si>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</si>
  <si>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</si>
  <si>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</si>
  <si>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</si>
  <si>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</si>
  <si>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</si>
  <si>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</si>
  <si>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</si>
  <si>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</si>
  <si>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</si>
  <si>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</si>
  <si>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</si>
  <si>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</si>
  <si>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</si>
  <si>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</si>
  <si>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</si>
  <si>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</si>
  <si>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</si>
  <si>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þjortingr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</si>
  <si>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</si>
  <si>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</si>
  <si>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</si>
  <si>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</si>
  <si>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</si>
  <si>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</si>
  <si>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</si>
  <si>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þögt</t>
  </si>
  <si>
    <t>silent (adjective); to be absolutely calm or peaceful (adjective); to become silent (verb)</t>
  </si>
  <si>
    <t>þöll</t>
  </si>
  <si>
    <t>calm, patient (adjective)</t>
  </si>
  <si>
    <t>þöllim</t>
  </si>
  <si>
    <t>peace, stillness, tranquility, serenity; silence</t>
  </si>
  <si>
    <t>þölling-ligt</t>
  </si>
  <si>
    <t>comfortable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</si>
  <si>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</si>
  <si>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</si>
  <si>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</si>
  <si>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</si>
  <si>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</si>
  <si>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</si>
  <si>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</si>
  <si>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</si>
  <si>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</si>
  <si>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</si>
  <si>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</si>
  <si>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</si>
  <si>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þrák-maðr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</si>
  <si>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</si>
  <si>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</si>
  <si>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</si>
  <si>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</si>
  <si>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</si>
  <si>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</si>
  <si>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</si>
  <si>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</si>
  <si>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</si>
  <si>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</si>
  <si>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</si>
  <si>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</si>
  <si>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</si>
  <si>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</si>
  <si>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</si>
  <si>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</si>
  <si>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</si>
  <si>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</si>
  <si>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</si>
  <si>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</si>
  <si>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</si>
  <si>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</si>
  <si>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</si>
  <si>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þúfsi</t>
  </si>
  <si>
    <t>string, thread</t>
  </si>
  <si>
    <t>þukt</t>
  </si>
  <si>
    <t>heavy as in weight (adjective)</t>
  </si>
  <si>
    <t>þull</t>
  </si>
  <si>
    <t>foe, opponent, adversary, enemy; the immedient enemy</t>
  </si>
  <si>
    <t>þuna</t>
  </si>
  <si>
    <t>to go numb</t>
  </si>
  <si>
    <t>þungr</t>
  </si>
  <si>
    <t>language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</si>
  <si>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</si>
  <si>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</si>
  <si>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</si>
  <si>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</si>
  <si>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</si>
  <si>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</si>
  <si>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</t>
  </si>
  <si>
    <t>maid; a female servant</t>
  </si>
  <si>
    <t>þyrstr</t>
  </si>
  <si>
    <t>thirsty (adjective)</t>
  </si>
  <si>
    <t>þytr</t>
  </si>
  <si>
    <t>a whipering sound or noise; a wispy sound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</si>
  <si>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</si>
  <si>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</si>
  <si>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</si>
  <si>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</si>
  <si>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</si>
  <si>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</si>
  <si>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</si>
  <si>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</si>
  <si>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</si>
  <si>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</si>
  <si>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</si>
  <si>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r>
      <rPr>
        <rFont val="Noto Sans"/>
        <i/>
        <color theme="1"/>
      </rPr>
      <t>(a-stems/i-stems)</t>
    </r>
    <r>
      <rPr>
        <rFont val="Noto Sans"/>
        <color theme="1"/>
      </rPr>
      <t>-a</t>
    </r>
  </si>
  <si>
    <t>-un</t>
  </si>
  <si>
    <t>neuter endings</t>
  </si>
  <si>
    <t>anything that doesn't fit the above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</si>
  <si>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</si>
  <si>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</si>
  <si>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</si>
  <si>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</si>
  <si>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</si>
  <si>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</si>
  <si>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</si>
  <si>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</si>
  <si>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</si>
  <si>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</si>
  <si>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</si>
  <si>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</si>
  <si>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</si>
  <si>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</si>
  <si>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</si>
  <si>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</si>
  <si>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</si>
  <si>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</si>
  <si>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</si>
  <si>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</si>
  <si>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</si>
  <si>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</si>
  <si>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hám</t>
  </si>
  <si>
    <t>hána</t>
  </si>
  <si>
    <t>þenna</t>
  </si>
  <si>
    <t>þennar</t>
  </si>
  <si>
    <t>dative</t>
  </si>
  <si>
    <t>hámi</t>
  </si>
  <si>
    <t>þéss</t>
  </si>
  <si>
    <t>þessu</t>
  </si>
  <si>
    <t>þessuna</t>
  </si>
  <si>
    <t>genitive</t>
  </si>
  <si>
    <t>minn, mín, mitt</t>
  </si>
  <si>
    <t>þinn, þín, þitt</t>
  </si>
  <si>
    <t>hans</t>
  </si>
  <si>
    <t>default</t>
  </si>
  <si>
    <t>special endings 2</t>
  </si>
  <si>
    <t>þungr (masc)</t>
  </si>
  <si>
    <t>drýmba (fem, -a ending)</t>
  </si>
  <si>
    <t>singular/plural</t>
  </si>
  <si>
    <t>plural (if applicable)</t>
  </si>
  <si>
    <t>nágnir (masc, special decl)</t>
  </si>
  <si>
    <t>indefinite</t>
  </si>
  <si>
    <t>definite</t>
  </si>
  <si>
    <t>þungr-inn</t>
  </si>
  <si>
    <t>þung-ar</t>
  </si>
  <si>
    <t>þung-arnir</t>
  </si>
  <si>
    <t>drýmba-n</t>
  </si>
  <si>
    <t>drýmb-ir</t>
  </si>
  <si>
    <t>drýmb-irnar</t>
  </si>
  <si>
    <t>nágnir-inn</t>
  </si>
  <si>
    <t>nágn-íri</t>
  </si>
  <si>
    <t>nágn-ærinn</t>
  </si>
  <si>
    <t>þung-u</t>
  </si>
  <si>
    <t>þung-unu</t>
  </si>
  <si>
    <t>nágnir-u</t>
  </si>
  <si>
    <t>nágnir-unu</t>
  </si>
  <si>
    <t>þung-i</t>
  </si>
  <si>
    <t>þung-inum</t>
  </si>
  <si>
    <t>þung-um</t>
  </si>
  <si>
    <t>þung-unum</t>
  </si>
  <si>
    <t>drýmb-i</t>
  </si>
  <si>
    <t>drýmb-inni</t>
  </si>
  <si>
    <t>drýmb-um</t>
  </si>
  <si>
    <t>drýmb-unum</t>
  </si>
  <si>
    <t>nágn-írjum</t>
  </si>
  <si>
    <t>nágn-ærunum</t>
  </si>
  <si>
    <t>þung-s</t>
  </si>
  <si>
    <t>þung-sins</t>
  </si>
  <si>
    <t>þung-a</t>
  </si>
  <si>
    <t>þung-anna</t>
  </si>
  <si>
    <t>drýmb-s</t>
  </si>
  <si>
    <t>drýmb-annas</t>
  </si>
  <si>
    <t>drýmb-ænna</t>
  </si>
  <si>
    <t>nágnir-s</t>
  </si>
  <si>
    <t>nágnir-sins</t>
  </si>
  <si>
    <t>nágn-írjaz</t>
  </si>
  <si>
    <t>nágn-ærjaznaz</t>
  </si>
  <si>
    <t>kráin (fem, non-a ending)</t>
  </si>
  <si>
    <t>græssa (fem, -sa ending)</t>
  </si>
  <si>
    <t>te (neuter, single syllable vowel ending)</t>
  </si>
  <si>
    <t>kráin-in</t>
  </si>
  <si>
    <t>kráin-ir</t>
  </si>
  <si>
    <t>kráin-irnar</t>
  </si>
  <si>
    <t>græssa-n</t>
  </si>
  <si>
    <t>græss-ir</t>
  </si>
  <si>
    <t>græss-irnar</t>
  </si>
  <si>
    <t>te-inn</t>
  </si>
  <si>
    <r>
      <rPr>
        <rFont val="Noto Sans"/>
        <color theme="1"/>
        <sz val="10.0"/>
      </rPr>
      <t>kráin-</t>
    </r>
    <r>
      <rPr>
        <rFont val="Noto Sans"/>
        <i/>
        <color theme="1"/>
        <sz val="10.0"/>
      </rPr>
      <t>ø</t>
    </r>
  </si>
  <si>
    <t>kráin-i</t>
  </si>
  <si>
    <t>kráin-inni</t>
  </si>
  <si>
    <t>kráin-um</t>
  </si>
  <si>
    <t>kráin-unum</t>
  </si>
  <si>
    <t>græss-i</t>
  </si>
  <si>
    <t>græss-inni</t>
  </si>
  <si>
    <t>græss-um</t>
  </si>
  <si>
    <t>græss-unum</t>
  </si>
  <si>
    <t>te-i</t>
  </si>
  <si>
    <t>te-inni</t>
  </si>
  <si>
    <t>kráin-s</t>
  </si>
  <si>
    <t>kráin-sins</t>
  </si>
  <si>
    <t>kráin-a</t>
  </si>
  <si>
    <t>kráin-anna</t>
  </si>
  <si>
    <t>græss-as</t>
  </si>
  <si>
    <t>græss-annas</t>
  </si>
  <si>
    <t>græss-ænna</t>
  </si>
  <si>
    <t>te-s</t>
  </si>
  <si>
    <t>te-sins</t>
  </si>
  <si>
    <t>lyng (neu)</t>
  </si>
  <si>
    <t>meyja (fem, -ja ending)</t>
  </si>
  <si>
    <t>kví (neuter, special decl)</t>
  </si>
  <si>
    <t>lyng-it</t>
  </si>
  <si>
    <t>lyng-ur</t>
  </si>
  <si>
    <t>lyng-urnir</t>
  </si>
  <si>
    <t>mey-jan</t>
  </si>
  <si>
    <t>mey-jar</t>
  </si>
  <si>
    <t>mey-jarnar</t>
  </si>
  <si>
    <t>kví-it</t>
  </si>
  <si>
    <t>kví-r</t>
  </si>
  <si>
    <t>kví-rnir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</si>
  <si>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</si>
  <si>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</si>
  <si>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</si>
  <si>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</si>
  <si>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</si>
  <si>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mey-i</t>
  </si>
  <si>
    <t>mey-inni</t>
  </si>
  <si>
    <t>mey-jum</t>
  </si>
  <si>
    <t>mey-junum</t>
  </si>
  <si>
    <t>kví-nni</t>
  </si>
  <si>
    <t>kvjum</t>
  </si>
  <si>
    <t>kvjunum</t>
  </si>
  <si>
    <t>lyng-s</t>
  </si>
  <si>
    <t>lyng-sins</t>
  </si>
  <si>
    <t>lyng-a</t>
  </si>
  <si>
    <t>lyng-anna</t>
  </si>
  <si>
    <t>mey-s</t>
  </si>
  <si>
    <t>mey-sins</t>
  </si>
  <si>
    <t>mey-janna</t>
  </si>
  <si>
    <t>kví-s</t>
  </si>
  <si>
    <t>kví-sins</t>
  </si>
  <si>
    <t>kvír-ja</t>
  </si>
  <si>
    <t>kvír-janna</t>
  </si>
  <si>
    <t>lyba (neu, -a ending)</t>
  </si>
  <si>
    <r>
      <rPr>
        <rFont val="Noto Sans"/>
        <color theme="1"/>
        <sz val="10.0"/>
      </rPr>
      <t xml:space="preserve">when a word has "plural is the same" in it's definition,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</si>
  <si>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</si>
  <si>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lyba-n</t>
  </si>
  <si>
    <t>lyb-ur</t>
  </si>
  <si>
    <t>lyb-urnir</t>
  </si>
  <si>
    <t>lyb-i</t>
  </si>
  <si>
    <t>lyb-inni</t>
  </si>
  <si>
    <t>lyb-um</t>
  </si>
  <si>
    <t>lyb-unum</t>
  </si>
  <si>
    <t>lyb-s</t>
  </si>
  <si>
    <t>lyb-sins</t>
  </si>
  <si>
    <t>lyb-ænna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</si>
  <si>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</si>
  <si>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</si>
  <si>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</si>
  <si>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</si>
  <si>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</si>
  <si>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</si>
  <si>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</si>
  <si>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</si>
  <si>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</si>
  <si>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</si>
  <si>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</si>
  <si>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</si>
  <si>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</si>
  <si>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</si>
  <si>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</si>
  <si>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</si>
  <si>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</si>
  <si>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</si>
  <si>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</si>
  <si>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</si>
  <si>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</si>
  <si>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</si>
  <si>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</si>
  <si>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suffix</t>
  </si>
  <si>
    <t>vowel, or f, r, g</t>
  </si>
  <si>
    <t>+</t>
  </si>
  <si>
    <t>ð</t>
  </si>
  <si>
    <t>gerði</t>
  </si>
  <si>
    <t>ø</t>
  </si>
  <si>
    <t>mun, byggi, slá</t>
  </si>
  <si>
    <t>l, m, n, d</t>
  </si>
  <si>
    <t>d</t>
  </si>
  <si>
    <t>taldi</t>
  </si>
  <si>
    <t>i</t>
  </si>
  <si>
    <t>muni, byggi, slæ</t>
  </si>
  <si>
    <t>b, k, p, s, ð, lf</t>
  </si>
  <si>
    <t>t</t>
  </si>
  <si>
    <t>hlapti</t>
  </si>
  <si>
    <t>ir</t>
  </si>
  <si>
    <t>munir, byggir, slær</t>
  </si>
  <si>
    <t>other</t>
  </si>
  <si>
    <t>virnaði, sláði</t>
  </si>
  <si>
    <t>past participle</t>
  </si>
  <si>
    <t>present participle</t>
  </si>
  <si>
    <t>last vowel</t>
  </si>
  <si>
    <t>ending</t>
  </si>
  <si>
    <t>að</t>
  </si>
  <si>
    <t>barað</t>
  </si>
  <si>
    <t>a, á</t>
  </si>
  <si>
    <t>andi</t>
  </si>
  <si>
    <t>gerandi, sláandi</t>
  </si>
  <si>
    <t>ja</t>
  </si>
  <si>
    <t>jandi</t>
  </si>
  <si>
    <t>byggjandi</t>
  </si>
  <si>
    <t>gerið, byggið</t>
  </si>
  <si>
    <t>k, p</t>
  </si>
  <si>
    <t>hlapt</t>
  </si>
  <si>
    <t>gerund (becomes neuter, use neuter noun declensions)</t>
  </si>
  <si>
    <t>mediopassive voice (verbs ending in -ask)</t>
  </si>
  <si>
    <t>tense</t>
  </si>
  <si>
    <t>a</t>
  </si>
  <si>
    <t>ing</t>
  </si>
  <si>
    <t>gering</t>
  </si>
  <si>
    <t>-ask</t>
  </si>
  <si>
    <t>at verask, at gerask, at eldask</t>
  </si>
  <si>
    <t>(æ)ing</t>
  </si>
  <si>
    <t>slæing</t>
  </si>
  <si>
    <t>-isk</t>
  </si>
  <si>
    <t>verisk, gerisk, eldisk</t>
  </si>
  <si>
    <t>jang</t>
  </si>
  <si>
    <t>-(a)ðisk</t>
  </si>
  <si>
    <t>verðisk, gerðisk, eldaðisk</t>
  </si>
  <si>
    <t>adjectives</t>
  </si>
  <si>
    <t>adjectives ending in -ligt</t>
  </si>
  <si>
    <t>case</t>
  </si>
  <si>
    <t>predictive</t>
  </si>
  <si>
    <t>unmodified</t>
  </si>
  <si>
    <t>sváligt</t>
  </si>
  <si>
    <t>attributive</t>
  </si>
  <si>
    <t>rauð</t>
  </si>
  <si>
    <t>rauða</t>
  </si>
  <si>
    <t>comparative</t>
  </si>
  <si>
    <t>urt</t>
  </si>
  <si>
    <t>sváligturt</t>
  </si>
  <si>
    <t>rauðurt</t>
  </si>
  <si>
    <t>superlative</t>
  </si>
  <si>
    <t>jast</t>
  </si>
  <si>
    <t>sváligtjast</t>
  </si>
  <si>
    <t>urta</t>
  </si>
  <si>
    <t>rauðurta</t>
  </si>
  <si>
    <t>adverb</t>
  </si>
  <si>
    <t>sváligga</t>
  </si>
  <si>
    <t>rauðjast</t>
  </si>
  <si>
    <t>jasta</t>
  </si>
  <si>
    <t>rauðjasta</t>
  </si>
  <si>
    <t>ni</t>
  </si>
  <si>
    <t>rauðni</t>
  </si>
  <si>
    <t>noun (becomes neuter noun)</t>
  </si>
  <si>
    <t>an</t>
  </si>
  <si>
    <t>rauðan</t>
  </si>
  <si>
    <t>adverbs</t>
  </si>
  <si>
    <t>fallback declension (has an ending that isn't listed)</t>
  </si>
  <si>
    <t>stikk</t>
  </si>
  <si>
    <t>neuter noun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</si>
  <si>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</si>
  <si>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</si>
  <si>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</si>
  <si>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</si>
  <si>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</si>
  <si>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</si>
  <si>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</si>
  <si>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</si>
  <si>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</si>
  <si>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</si>
  <si>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</si>
  <si>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</si>
  <si>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</si>
  <si>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</si>
  <si>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</si>
  <si>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 páka.</t>
  </si>
  <si>
    <t>Páka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</si>
  <si>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</si>
  <si>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</si>
  <si>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</si>
  <si>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</si>
  <si>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bakandi páka.</t>
  </si>
  <si>
    <t>Páka ar verið bakt.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</si>
  <si>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</si>
  <si>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</si>
  <si>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</si>
  <si>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</si>
  <si>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bakti páka.</t>
  </si>
  <si>
    <t>Páka var bakt.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</si>
  <si>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</si>
  <si>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</si>
  <si>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</si>
  <si>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</si>
  <si>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bakandi páka.</t>
  </si>
  <si>
    <t>Páka var verið bakt.</t>
  </si>
  <si>
    <t>present perfect</t>
  </si>
  <si>
    <t>Ek haf bakt páka.</t>
  </si>
  <si>
    <t>Páka haf verið bakt.</t>
  </si>
  <si>
    <t>specific time and place</t>
  </si>
  <si>
    <t>past perfect</t>
  </si>
  <si>
    <t>Ek hafði bakt páka.</t>
  </si>
  <si>
    <t>Páka hafði verið bakt.</t>
  </si>
  <si>
    <t>sentence ending</t>
  </si>
  <si>
    <t>future simple</t>
  </si>
  <si>
    <t>Ek mun at baka páka.</t>
  </si>
  <si>
    <t>Páka mun at vera bakt.</t>
  </si>
  <si>
    <t>í...</t>
  </si>
  <si>
    <t>Ek var nýtandi þetta í fyrr.</t>
  </si>
  <si>
    <t>modal</t>
  </si>
  <si>
    <t>Ek skolu at baka páka.</t>
  </si>
  <si>
    <t>Páka skolu at vera bakt.</t>
  </si>
  <si>
    <t>place</t>
  </si>
  <si>
    <t>Ek var nýtandi þetta í sérran.</t>
  </si>
  <si>
    <t>modal perfect</t>
  </si>
  <si>
    <t>Ek á til at baka páka.</t>
  </si>
  <si>
    <t>Páka á til at vera bakt.</t>
  </si>
  <si>
    <t>time and place</t>
  </si>
  <si>
    <t>Ek var nýtandi þetta í sérran fyrr.</t>
  </si>
  <si>
    <t>noun cases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</si>
  <si>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</si>
  <si>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</si>
  <si>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</si>
  <si>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</si>
  <si>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</si>
  <si>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</si>
  <si>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</si>
  <si>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</si>
  <si>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</si>
  <si>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</si>
  <si>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</si>
  <si>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</si>
  <si>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</si>
  <si>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</si>
  <si>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</si>
  <si>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</si>
  <si>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</si>
  <si>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</si>
  <si>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</si>
  <si>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</si>
  <si>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</si>
  <si>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</si>
  <si>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</si>
  <si>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</si>
  <si>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</si>
  <si>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</si>
  <si>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</si>
  <si>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</si>
  <si>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</si>
  <si>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</si>
  <si>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</si>
  <si>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</si>
  <si>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</si>
  <si>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</si>
  <si>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</si>
  <si>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</si>
  <si>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</si>
  <si>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</si>
  <si>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</si>
  <si>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</si>
  <si>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</si>
  <si>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</si>
  <si>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</si>
  <si>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</si>
  <si>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</si>
  <si>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</si>
  <si>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</si>
  <si>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</si>
  <si>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</si>
  <si>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</si>
  <si>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</si>
  <si>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</si>
  <si>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</si>
  <si>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</si>
  <si>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</si>
  <si>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</si>
  <si>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</si>
  <si>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</si>
  <si>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</si>
  <si>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</si>
  <si>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</si>
  <si>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</si>
  <si>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</si>
  <si>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</si>
  <si>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</si>
  <si>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</si>
  <si>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</si>
  <si>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</si>
  <si>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</si>
  <si>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</si>
  <si>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letter</t>
  </si>
  <si>
    <t>ipa</t>
  </si>
  <si>
    <t>A</t>
  </si>
  <si>
    <t>/ɑ/</t>
  </si>
  <si>
    <t>Á</t>
  </si>
  <si>
    <t>/ɑuː/</t>
  </si>
  <si>
    <t>E</t>
  </si>
  <si>
    <t>/ɛ/</t>
  </si>
  <si>
    <t>Æ</t>
  </si>
  <si>
    <t>/aiː/</t>
  </si>
  <si>
    <t>I</t>
  </si>
  <si>
    <t>/ɪ/</t>
  </si>
  <si>
    <t>AU</t>
  </si>
  <si>
    <t>/œyː/</t>
  </si>
  <si>
    <t>Í</t>
  </si>
  <si>
    <t>/iː/</t>
  </si>
  <si>
    <t>É</t>
  </si>
  <si>
    <t>/jɛː/</t>
  </si>
  <si>
    <t>O</t>
  </si>
  <si>
    <t>/o/</t>
  </si>
  <si>
    <t>EI, EY</t>
  </si>
  <si>
    <t>/ɛiː/</t>
  </si>
  <si>
    <t>Ö</t>
  </si>
  <si>
    <t>/œː/</t>
  </si>
  <si>
    <t>Ó</t>
  </si>
  <si>
    <t>/ouː/</t>
  </si>
  <si>
    <t>U</t>
  </si>
  <si>
    <t>/ʊ/</t>
  </si>
  <si>
    <t>Ú</t>
  </si>
  <si>
    <t>/uː/</t>
  </si>
  <si>
    <t>Y</t>
  </si>
  <si>
    <t>/ʏ/</t>
  </si>
  <si>
    <t>Ý</t>
  </si>
  <si>
    <t>/yː/</t>
  </si>
  <si>
    <t>consonants</t>
  </si>
  <si>
    <t>b</t>
  </si>
  <si>
    <t>/b/</t>
  </si>
  <si>
    <t>/d/</t>
  </si>
  <si>
    <t>/ð/</t>
  </si>
  <si>
    <t>f</t>
  </si>
  <si>
    <t>/f/</t>
  </si>
  <si>
    <t>g, gg</t>
  </si>
  <si>
    <t>/g/</t>
  </si>
  <si>
    <t>geta /'gɛtɑ/, hrýgg /r̥yːg/</t>
  </si>
  <si>
    <t>gj, ggj</t>
  </si>
  <si>
    <t>/c/</t>
  </si>
  <si>
    <t>gjóðr /couːðr/, byggja /'bʏcɑ/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</si>
  <si>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</si>
  <si>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</si>
  <si>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/'fɛlɛiːɣɑ/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</si>
  <si>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</si>
  <si>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</si>
  <si>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</si>
  <si>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</si>
  <si>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</si>
  <si>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/'nɛɣʊl/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</si>
  <si>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</si>
  <si>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</si>
  <si>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</si>
  <si>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gnágin /'gnɑuːɣɪn/</t>
  </si>
  <si>
    <r>
      <rPr>
        <rFont val="Noto Sans"/>
        <i/>
        <color theme="1"/>
      </rPr>
      <t xml:space="preserve">vowel </t>
    </r>
    <r>
      <rPr>
        <rFont val="Noto Sans"/>
        <color theme="1"/>
      </rPr>
      <t>+ gæ/gá/gau</t>
    </r>
  </si>
  <si>
    <t>h</t>
  </si>
  <si>
    <t>/h/</t>
  </si>
  <si>
    <t>j</t>
  </si>
  <si>
    <t>/j/</t>
  </si>
  <si>
    <t>k</t>
  </si>
  <si>
    <t>/kʰ k/</t>
  </si>
  <si>
    <t>kelfa /'kʰɛlfɑ/, fnakr /fnɑkr/</t>
  </si>
  <si>
    <t>l</t>
  </si>
  <si>
    <t>/l/</t>
  </si>
  <si>
    <t>hl</t>
  </si>
  <si>
    <t>/l̥/</t>
  </si>
  <si>
    <t>hlab /l̥ɑb/</t>
  </si>
  <si>
    <t>m</t>
  </si>
  <si>
    <t>/m/</t>
  </si>
  <si>
    <t>n</t>
  </si>
  <si>
    <t>/n/</t>
  </si>
  <si>
    <t>hn</t>
  </si>
  <si>
    <t>/n̥/</t>
  </si>
  <si>
    <t>hnifr /n̥ɪfr/</t>
  </si>
  <si>
    <t>nj</t>
  </si>
  <si>
    <t>/ɲ/</t>
  </si>
  <si>
    <t>njágta /'ɲɑuːgtɑ/</t>
  </si>
  <si>
    <t>p</t>
  </si>
  <si>
    <t>/p/</t>
  </si>
  <si>
    <t>r</t>
  </si>
  <si>
    <t>/r/</t>
  </si>
  <si>
    <t>hr</t>
  </si>
  <si>
    <t>/r̥/</t>
  </si>
  <si>
    <t>hrafn /r̥ɑfn/</t>
  </si>
  <si>
    <t>s</t>
  </si>
  <si>
    <t>/s/</t>
  </si>
  <si>
    <t>/tʰ t/</t>
  </si>
  <si>
    <t>tundra /'tʰʊndrɑ/, flattr /flɑtr/</t>
  </si>
  <si>
    <t>-kt, -pt</t>
  </si>
  <si>
    <t>/kt̪ pt̪/</t>
  </si>
  <si>
    <t>bakt /bɑkt̪/, hlapt /l̥ɑpt̪/</t>
  </si>
  <si>
    <t>v</t>
  </si>
  <si>
    <t>/ʋ/</t>
  </si>
  <si>
    <t>hv</t>
  </si>
  <si>
    <t>/kʋ/</t>
  </si>
  <si>
    <t>hvað /kʋɑð/</t>
  </si>
  <si>
    <t>kv</t>
  </si>
  <si>
    <t>/kf/</t>
  </si>
  <si>
    <t>kví /kfiː/</t>
  </si>
  <si>
    <t>x</t>
  </si>
  <si>
    <t>/ks/</t>
  </si>
  <si>
    <t>z</t>
  </si>
  <si>
    <t>/z/</t>
  </si>
  <si>
    <t>þ</t>
  </si>
  <si>
    <t>/θ/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</si>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</sst>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b/>
      <sz val="10.0"/>
      <color theme="1"/>
      <name val="Noto Sans"/>
    </font>
    <font>
      <sz val="10.0"/>
      <color theme="1"/>
      <name val="Noto Sans"/>
    </font>
    <font>
      <b/>
      <i/>
      <sz val="10.0"/>
      <color rgb="FF000000"/>
      <name val="Noto Sans"/>
    </font>
    <font>
      <sz val="10.0"/>
      <color theme="1"/>
      <name val="EB Garamond"/>
    </font>
    <font>
      <color theme="1"/>
      <name val="Noto Sans"/>
    </font>
    <font>
      <color rgb="FF000000"/>
      <name val="Noto Sans"/>
    </font>
    <font>
      <sz val="10.0"/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0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8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1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shrinkToFit="0" wrapText="0"/>
    </xf>
    <xf borderId="3" fillId="0" fontId="6" numFmtId="0" xfId="0" applyAlignment="1" applyBorder="1" applyFont="1">
      <alignment horizontal="left" readingOrder="0" shrinkToFit="0" vertical="center" wrapText="0"/>
    </xf>
    <xf borderId="4" fillId="0" fontId="3" numFmtId="0" xfId="0" applyAlignment="1" applyBorder="1" applyFont="1">
      <alignment horizontal="left" readingOrder="0" shrinkToFit="0" vertical="center" wrapText="0"/>
    </xf>
    <xf borderId="0" fillId="3" fontId="6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5" fillId="0" fontId="6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6" numFmtId="0" xfId="0" applyAlignment="1" applyFont="1">
      <alignment horizontal="left" vertical="center"/>
    </xf>
    <xf borderId="0" fillId="0" fontId="6" numFmtId="0" xfId="0" applyAlignment="1" applyFont="1">
      <alignment readingOrder="0" vertical="center"/>
    </xf>
    <xf borderId="3" fillId="0" fontId="6" numFmtId="0" xfId="0" applyAlignment="1" applyBorder="1" applyFont="1">
      <alignment horizontal="left" readingOrder="0" shrinkToFit="0" vertical="center" wrapText="0"/>
    </xf>
    <xf borderId="4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6" numFmtId="0" xfId="0" applyAlignment="1" applyFont="1">
      <alignment horizontal="left" vertical="center"/>
    </xf>
    <xf borderId="5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7" numFmtId="0" xfId="0" applyAlignment="1" applyFont="1">
      <alignment readingOrder="0" vertical="center"/>
    </xf>
    <xf borderId="3" fillId="0" fontId="3" numFmtId="0" xfId="0" applyAlignment="1" applyBorder="1" applyFont="1">
      <alignment horizontal="left" readingOrder="0" shrinkToFit="0" vertical="center" wrapText="0"/>
    </xf>
    <xf borderId="6" fillId="0" fontId="6" numFmtId="0" xfId="0" applyAlignment="1" applyBorder="1" applyFont="1">
      <alignment horizontal="left" readingOrder="0" shrinkToFit="0" vertical="center" wrapText="0"/>
    </xf>
    <xf borderId="0" fillId="0" fontId="6" numFmtId="0" xfId="0" applyAlignment="1" applyFont="1">
      <alignment vertical="center"/>
    </xf>
    <xf borderId="5" fillId="0" fontId="8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1"/>
    </xf>
    <xf borderId="0" fillId="0" fontId="6" numFmtId="0" xfId="0" applyAlignment="1" applyFont="1">
      <alignment shrinkToFit="0" vertical="center" wrapText="0"/>
    </xf>
    <xf borderId="0" fillId="0" fontId="6" numFmtId="0" xfId="0" applyAlignment="1" applyFont="1">
      <alignment readingOrder="0" shrinkToFit="0" vertical="center" wrapText="0"/>
    </xf>
    <xf borderId="4" fillId="0" fontId="6" numFmtId="0" xfId="0" applyAlignment="1" applyBorder="1" applyFont="1">
      <alignment horizontal="left" readingOrder="0" shrinkToFit="0" vertical="center" wrapText="0"/>
    </xf>
    <xf borderId="0" fillId="0" fontId="9" numFmtId="0" xfId="0" applyAlignment="1" applyFont="1">
      <alignment readingOrder="0" shrinkToFit="0" vertical="center" wrapText="1"/>
    </xf>
    <xf borderId="0" fillId="0" fontId="10" numFmtId="0" xfId="0" applyAlignment="1" applyFont="1">
      <alignment readingOrder="0" shrinkToFit="0" vertical="center" wrapText="1"/>
    </xf>
    <xf borderId="0" fillId="0" fontId="9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0" fillId="0" fontId="11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vertical="center"/>
    </xf>
    <xf borderId="0" fillId="0" fontId="12" numFmtId="0" xfId="0" applyAlignment="1" applyFont="1">
      <alignment vertical="center"/>
    </xf>
    <xf borderId="0" fillId="0" fontId="1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6" numFmtId="0" xfId="0" applyAlignment="1" applyFont="1">
      <alignment horizontal="left" readingOrder="0" vertical="center"/>
    </xf>
    <xf borderId="5" fillId="0" fontId="6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5" fontId="3" numFmtId="0" xfId="0" applyAlignment="1" applyBorder="1" applyFill="1" applyFont="1">
      <alignment horizontal="left" readingOrder="0" shrinkToFit="0" vertical="center" wrapText="0"/>
    </xf>
    <xf borderId="3" fillId="0" fontId="7" numFmtId="0" xfId="0" applyAlignment="1" applyBorder="1" applyFont="1">
      <alignment horizontal="left" readingOrder="0" shrinkToFit="0" vertical="center" wrapText="0"/>
    </xf>
    <xf borderId="4" fillId="0" fontId="3" numFmtId="0" xfId="0" applyAlignment="1" applyBorder="1" applyFont="1">
      <alignment horizontal="left" readingOrder="0" shrinkToFit="0" vertical="center" wrapText="0"/>
    </xf>
    <xf borderId="3" fillId="0" fontId="6" numFmtId="49" xfId="0" applyAlignment="1" applyBorder="1" applyFont="1" applyNumberFormat="1">
      <alignment horizontal="left" readingOrder="0" shrinkToFit="0" vertical="center" wrapText="0"/>
    </xf>
    <xf borderId="4" fillId="0" fontId="6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5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3" fillId="0" fontId="8" numFmtId="0" xfId="0" applyAlignment="1" applyBorder="1" applyFont="1">
      <alignment horizontal="left" readingOrder="0" shrinkToFit="0" vertical="center" wrapText="0"/>
    </xf>
    <xf borderId="5" fillId="0" fontId="6" numFmtId="49" xfId="0" applyAlignment="1" applyBorder="1" applyFont="1" applyNumberFormat="1">
      <alignment horizontal="left" readingOrder="0" shrinkToFit="0" vertical="center" wrapText="0"/>
    </xf>
    <xf borderId="6" fillId="0" fontId="6" numFmtId="49" xfId="0" applyAlignment="1" applyBorder="1" applyFont="1" applyNumberFormat="1">
      <alignment horizontal="left" readingOrder="0" shrinkToFit="0" vertical="center" wrapText="0"/>
    </xf>
    <xf borderId="5" fillId="0" fontId="7" numFmtId="0" xfId="0" applyAlignment="1" applyBorder="1" applyFont="1">
      <alignment horizontal="left" readingOrder="0" shrinkToFit="0" vertical="center" wrapText="0"/>
    </xf>
    <xf borderId="6" fillId="0" fontId="6" numFmtId="0" xfId="0" applyAlignment="1" applyBorder="1" applyFont="1">
      <alignment horizontal="left" shrinkToFit="0" vertical="center" wrapText="0"/>
    </xf>
    <xf borderId="8" fillId="0" fontId="6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6" fontId="10" numFmtId="0" xfId="0" applyAlignment="1" applyFill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2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10" numFmtId="0" xfId="0" applyAlignment="1" applyFont="1">
      <alignment horizontal="center" readingOrder="0" shrinkToFit="0" vertical="center" wrapText="1"/>
    </xf>
    <xf borderId="0" fillId="6" fontId="10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10" numFmtId="0" xfId="0" applyAlignment="1" applyFont="1">
      <alignment horizontal="center" readingOrder="0" vertical="center"/>
    </xf>
    <xf borderId="0" fillId="6" fontId="6" numFmtId="0" xfId="0" applyAlignment="1" applyFont="1">
      <alignment horizontal="center" vertical="center"/>
    </xf>
    <xf quotePrefix="1" borderId="0" fillId="0" fontId="10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2" numFmtId="0" xfId="0" applyAlignment="1" applyFont="1">
      <alignment horizontal="center" readingOrder="0" vertical="center"/>
    </xf>
    <xf borderId="0" fillId="6" fontId="10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borderId="0" fillId="0" fontId="6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B1885" displayName="Lexicon" name="Lexicon" id="1">
  <autoFilter ref="$A$1:$B$1885"/>
  <tableColumns count="2">
    <tableColumn name="Word" id="1"/>
    <tableColumn name="Definition" id="2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37.63"/>
    <col customWidth="1" min="3" max="3" width="10.13"/>
    <col customWidth="1" min="4" max="4" width="20.13"/>
    <col customWidth="1" min="5" max="5" width="137.63"/>
    <col customWidth="1" min="6" max="23" width="12.63"/>
  </cols>
  <sheetData>
    <row r="1">
      <c r="A1" s="1" t="s">
        <v>0</v>
      </c>
      <c r="B1" s="2" t="s">
        <v>1</v>
      </c>
      <c r="C1" s="3"/>
      <c r="D1" s="4"/>
      <c r="E1" s="5"/>
      <c r="F1" s="6"/>
      <c r="G1" s="7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</row>
    <row r="2">
      <c r="A2" s="9" t="s">
        <v>2</v>
      </c>
      <c r="B2" s="10" t="s">
        <v>3</v>
      </c>
      <c r="C2" s="5"/>
      <c r="D2" s="4" t="s">
        <v>4</v>
      </c>
      <c r="E2" s="11" t="s">
        <v>5</v>
      </c>
      <c r="F2" s="12"/>
      <c r="G2" s="12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</row>
    <row r="3">
      <c r="A3" s="13" t="s">
        <v>6</v>
      </c>
      <c r="B3" s="14" t="s">
        <v>7</v>
      </c>
      <c r="C3" s="5"/>
      <c r="D3" s="15" t="str">
        <f>IFERROR(__xludf.DUMMYFUNCTION("FILTER(A:B, EQ(A:A, E2))"),"#N/A")</f>
        <v>#N/A</v>
      </c>
      <c r="E3" s="16"/>
      <c r="F3" s="17"/>
      <c r="G3" s="17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</row>
    <row r="4">
      <c r="A4" s="18" t="s">
        <v>8</v>
      </c>
      <c r="B4" s="19" t="s">
        <v>9</v>
      </c>
      <c r="C4" s="5"/>
      <c r="D4" s="20" t="str">
        <f>IFERROR(__xludf.DUMMYFUNCTION("SORT(FILTER(A2:B1926, REGEXMATCH(B2:B1926, E2)), 2, TRUE)"),"hvelsa")</f>
        <v>hvelsa</v>
      </c>
      <c r="E4" s="21" t="str">
        <f>IFERROR(__xludf.DUMMYFUNCTION("""COMPUTED_VALUE"""),"to care, to take care of")</f>
        <v>to care, to take care of</v>
      </c>
      <c r="F4" s="17"/>
      <c r="G4" s="17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</row>
    <row r="5">
      <c r="A5" s="13" t="s">
        <v>10</v>
      </c>
      <c r="B5" s="14" t="s">
        <v>11</v>
      </c>
      <c r="C5" s="5"/>
      <c r="D5" s="21" t="str">
        <f>IFERROR(__xludf.DUMMYFUNCTION("""COMPUTED_VALUE"""),"æka")</f>
        <v>æka</v>
      </c>
      <c r="E5" s="5" t="str">
        <f>IFERROR(__xludf.DUMMYFUNCTION("""COMPUTED_VALUE"""),"to claim, loot, or take; to make one's own; to take for themself")</f>
        <v>to claim, loot, or take; to make one's own; to take for themself</v>
      </c>
      <c r="F5" s="17"/>
      <c r="G5" s="17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</row>
    <row r="6">
      <c r="A6" s="9" t="s">
        <v>12</v>
      </c>
      <c r="B6" s="10" t="s">
        <v>13</v>
      </c>
      <c r="C6" s="5"/>
      <c r="D6" s="5" t="str">
        <f>IFERROR(__xludf.DUMMYFUNCTION("""COMPUTED_VALUE"""),"örka")</f>
        <v>örka</v>
      </c>
      <c r="E6" s="5" t="str">
        <f>IFERROR(__xludf.DUMMYFUNCTION("""COMPUTED_VALUE"""),"to commit or devote to; to take an oath; to be loyal")</f>
        <v>to commit or devote to; to take an oath; to be loyal</v>
      </c>
      <c r="F6" s="17"/>
      <c r="G6" s="17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</row>
    <row r="7">
      <c r="A7" s="22" t="s">
        <v>14</v>
      </c>
      <c r="B7" s="14" t="s">
        <v>15</v>
      </c>
      <c r="C7" s="5"/>
      <c r="D7" s="23" t="str">
        <f>IFERROR(__xludf.DUMMYFUNCTION("""COMPUTED_VALUE"""),"hygla")</f>
        <v>hygla</v>
      </c>
      <c r="E7" s="23" t="str">
        <f>IFERROR(__xludf.DUMMYFUNCTION("""COMPUTED_VALUE"""),"to consider, to decide; to think; to take account, to care, to give attention to")</f>
        <v>to consider, to decide; to think; to take account, to care, to give attention to</v>
      </c>
      <c r="F7" s="17"/>
      <c r="G7" s="24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</row>
    <row r="8">
      <c r="A8" s="25" t="s">
        <v>16</v>
      </c>
      <c r="B8" s="19" t="s">
        <v>17</v>
      </c>
      <c r="C8" s="5"/>
      <c r="D8" s="23" t="str">
        <f>IFERROR(__xludf.DUMMYFUNCTION("""COMPUTED_VALUE"""),"gveta")</f>
        <v>gveta</v>
      </c>
      <c r="E8" s="23" t="str">
        <f>IFERROR(__xludf.DUMMYFUNCTION("""COMPUTED_VALUE"""),"to get, to take, or to bring | present tense: gvet, gveti, gvetir | past tense: gvæti | past participle: gvætið")</f>
        <v>to get, to take, or to bring | present tense: gvet, gveti, gvetir | past tense: gvæti | past participle: gvætið</v>
      </c>
      <c r="F8" s="17"/>
      <c r="G8" s="17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</row>
    <row r="9">
      <c r="A9" s="22" t="s">
        <v>18</v>
      </c>
      <c r="B9" s="14" t="s">
        <v>19</v>
      </c>
      <c r="C9" s="5"/>
      <c r="D9" s="5" t="str">
        <f>IFERROR(__xludf.DUMMYFUNCTION("""COMPUTED_VALUE"""),"leiða")</f>
        <v>leiða</v>
      </c>
      <c r="E9" s="23" t="str">
        <f>IFERROR(__xludf.DUMMYFUNCTION("""COMPUTED_VALUE"""),"to lead; to take someone along")</f>
        <v>to lead; to take someone along</v>
      </c>
      <c r="F9" s="17"/>
      <c r="G9" s="17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</row>
    <row r="10">
      <c r="A10" s="18" t="s">
        <v>20</v>
      </c>
      <c r="B10" s="19" t="s">
        <v>21</v>
      </c>
      <c r="C10" s="5"/>
      <c r="D10" s="23" t="str">
        <f>IFERROR(__xludf.DUMMYFUNCTION("""COMPUTED_VALUE"""),"embætta")</f>
        <v>embætta</v>
      </c>
      <c r="E10" s="23" t="str">
        <f>IFERROR(__xludf.DUMMYFUNCTION("""COMPUTED_VALUE"""),"to participate, or to attend; to take part, or to engage in")</f>
        <v>to participate, or to attend; to take part, or to engage in</v>
      </c>
      <c r="F10" s="17"/>
      <c r="G10" s="17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</row>
    <row r="11">
      <c r="A11" s="13" t="s">
        <v>22</v>
      </c>
      <c r="B11" s="26" t="s">
        <v>23</v>
      </c>
      <c r="C11" s="5"/>
      <c r="D11" s="23" t="str">
        <f>IFERROR(__xludf.DUMMYFUNCTION("""COMPUTED_VALUE"""),"sémba")</f>
        <v>sémba</v>
      </c>
      <c r="E11" s="23" t="str">
        <f>IFERROR(__xludf.DUMMYFUNCTION("""COMPUTED_VALUE"""),"to rest, relax, or to take a break")</f>
        <v>to rest, relax, or to take a break</v>
      </c>
      <c r="F11" s="17"/>
      <c r="G11" s="17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</row>
    <row r="12">
      <c r="A12" s="18" t="s">
        <v>24</v>
      </c>
      <c r="B12" s="19" t="s">
        <v>25</v>
      </c>
      <c r="C12" s="5"/>
      <c r="D12" s="23" t="str">
        <f>IFERROR(__xludf.DUMMYFUNCTION("""COMPUTED_VALUE"""),"ein-gora")</f>
        <v>ein-gora</v>
      </c>
      <c r="E12" s="23" t="str">
        <f>IFERROR(__xludf.DUMMYFUNCTION("""COMPUTED_VALUE"""),"to take a step")</f>
        <v>to take a step</v>
      </c>
      <c r="F12" s="27"/>
      <c r="G12" s="27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</row>
    <row r="13">
      <c r="A13" s="28" t="s">
        <v>26</v>
      </c>
      <c r="B13" s="14" t="s">
        <v>27</v>
      </c>
      <c r="C13" s="5"/>
      <c r="D13" s="23" t="str">
        <f>IFERROR(__xludf.DUMMYFUNCTION("""COMPUTED_VALUE"""),"svora")</f>
        <v>svora</v>
      </c>
      <c r="E13" s="23" t="str">
        <f>IFERROR(__xludf.DUMMYFUNCTION("""COMPUTED_VALUE"""),"to take apart, take down, or undo")</f>
        <v>to take apart, take down, or undo</v>
      </c>
      <c r="F13" s="6"/>
      <c r="G13" s="29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</row>
    <row r="14">
      <c r="A14" s="18" t="s">
        <v>28</v>
      </c>
      <c r="B14" s="19" t="s">
        <v>29</v>
      </c>
      <c r="C14" s="5"/>
      <c r="D14" s="23" t="str">
        <f>IFERROR(__xludf.DUMMYFUNCTION("""COMPUTED_VALUE"""),"gikna")</f>
        <v>gikna</v>
      </c>
      <c r="E14" s="23" t="str">
        <f>IFERROR(__xludf.DUMMYFUNCTION("""COMPUTED_VALUE"""),"to take quickly; to snatch")</f>
        <v>to take quickly; to snatch</v>
      </c>
      <c r="F14" s="12"/>
      <c r="G14" s="12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</row>
    <row r="15">
      <c r="A15" s="22" t="s">
        <v>30</v>
      </c>
      <c r="B15" s="14" t="s">
        <v>31</v>
      </c>
      <c r="C15" s="5"/>
      <c r="D15" s="23"/>
      <c r="E15" s="23"/>
      <c r="F15" s="12"/>
      <c r="G15" s="12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</row>
    <row r="16">
      <c r="A16" s="25" t="s">
        <v>32</v>
      </c>
      <c r="B16" s="19" t="s">
        <v>33</v>
      </c>
      <c r="C16" s="5"/>
      <c r="D16" s="23"/>
      <c r="E16" s="23"/>
      <c r="F16" s="12"/>
      <c r="G16" s="12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</row>
    <row r="17">
      <c r="A17" s="13" t="s">
        <v>34</v>
      </c>
      <c r="B17" s="14" t="s">
        <v>35</v>
      </c>
      <c r="C17" s="5"/>
      <c r="D17" s="23"/>
      <c r="E17" s="23"/>
      <c r="F17" s="12"/>
      <c r="G17" s="12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</row>
    <row r="18">
      <c r="A18" s="18" t="s">
        <v>36</v>
      </c>
      <c r="B18" s="19" t="s">
        <v>37</v>
      </c>
      <c r="C18" s="5"/>
      <c r="D18" s="23"/>
      <c r="E18" s="23"/>
      <c r="F18" s="17"/>
      <c r="G18" s="17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</row>
    <row r="19">
      <c r="A19" s="13" t="s">
        <v>38</v>
      </c>
      <c r="B19" s="14" t="s">
        <v>39</v>
      </c>
      <c r="C19" s="5"/>
      <c r="D19" s="23"/>
      <c r="E19" s="21"/>
      <c r="F19" s="17"/>
      <c r="G19" s="17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</row>
    <row r="20">
      <c r="A20" s="25" t="s">
        <v>40</v>
      </c>
      <c r="B20" s="19" t="s">
        <v>41</v>
      </c>
      <c r="C20" s="5"/>
      <c r="D20" s="23"/>
      <c r="E20" s="23"/>
      <c r="F20" s="17"/>
      <c r="G20" s="24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</row>
    <row r="21">
      <c r="A21" s="13" t="s">
        <v>42</v>
      </c>
      <c r="B21" s="14" t="s">
        <v>43</v>
      </c>
      <c r="C21" s="5"/>
      <c r="D21" s="23"/>
      <c r="E21" s="23"/>
      <c r="F21" s="12"/>
      <c r="G21" s="12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</row>
    <row r="22">
      <c r="A22" s="18" t="s">
        <v>44</v>
      </c>
      <c r="B22" s="19" t="s">
        <v>45</v>
      </c>
      <c r="C22" s="5"/>
      <c r="D22" s="23"/>
      <c r="E22" s="23"/>
      <c r="F22" s="12"/>
      <c r="G22" s="12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</row>
    <row r="23">
      <c r="A23" s="13" t="s">
        <v>46</v>
      </c>
      <c r="B23" s="14" t="s">
        <v>47</v>
      </c>
      <c r="C23" s="5"/>
      <c r="D23" s="23"/>
      <c r="E23" s="23"/>
      <c r="F23" s="12"/>
      <c r="G23" s="12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</row>
    <row r="24">
      <c r="A24" s="18" t="s">
        <v>48</v>
      </c>
      <c r="B24" s="19" t="s">
        <v>49</v>
      </c>
      <c r="C24" s="5"/>
      <c r="D24" s="23"/>
      <c r="E24" s="23"/>
      <c r="F24" s="12"/>
      <c r="G24" s="12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</row>
    <row r="25">
      <c r="A25" s="13" t="s">
        <v>50</v>
      </c>
      <c r="B25" s="26" t="s">
        <v>51</v>
      </c>
      <c r="C25" s="5"/>
      <c r="D25" s="23"/>
      <c r="E25" s="23"/>
      <c r="F25" s="6"/>
      <c r="G25" s="30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</row>
    <row r="26">
      <c r="A26" s="18" t="s">
        <v>52</v>
      </c>
      <c r="B26" s="19" t="s">
        <v>53</v>
      </c>
      <c r="C26" s="5"/>
      <c r="D26" s="23"/>
      <c r="E26" s="23"/>
      <c r="F26" s="31"/>
      <c r="G26" s="30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</row>
    <row r="27">
      <c r="A27" s="13" t="s">
        <v>54</v>
      </c>
      <c r="B27" s="14" t="s">
        <v>55</v>
      </c>
      <c r="C27" s="5"/>
      <c r="D27" s="23"/>
      <c r="E27" s="23"/>
      <c r="F27" s="32"/>
      <c r="G27" s="30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</row>
    <row r="28">
      <c r="A28" s="18" t="s">
        <v>56</v>
      </c>
      <c r="B28" s="33" t="s">
        <v>57</v>
      </c>
      <c r="C28" s="5"/>
      <c r="D28" s="23"/>
      <c r="E28" s="23"/>
      <c r="F28" s="12"/>
      <c r="G28" s="34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</row>
    <row r="29">
      <c r="A29" s="13" t="s">
        <v>58</v>
      </c>
      <c r="B29" s="14" t="s">
        <v>59</v>
      </c>
      <c r="C29" s="5"/>
      <c r="D29" s="23"/>
      <c r="E29" s="23"/>
      <c r="F29" s="27"/>
      <c r="G29" s="34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</row>
    <row r="30">
      <c r="A30" s="25" t="s">
        <v>60</v>
      </c>
      <c r="B30" s="19" t="s">
        <v>61</v>
      </c>
      <c r="C30" s="5"/>
      <c r="D30" s="23"/>
      <c r="E30" s="23"/>
      <c r="F30" s="27"/>
      <c r="G30" s="35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</row>
    <row r="31">
      <c r="A31" s="13" t="s">
        <v>62</v>
      </c>
      <c r="B31" s="14" t="s">
        <v>63</v>
      </c>
      <c r="C31" s="5"/>
      <c r="D31" s="23"/>
      <c r="E31" s="23"/>
      <c r="F31" s="27"/>
      <c r="G31" s="35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</row>
    <row r="32">
      <c r="A32" s="18" t="s">
        <v>64</v>
      </c>
      <c r="B32" s="19" t="s">
        <v>65</v>
      </c>
      <c r="C32" s="5"/>
      <c r="D32" s="23"/>
      <c r="E32" s="23"/>
      <c r="F32" s="27"/>
      <c r="G32" s="36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</row>
    <row r="33">
      <c r="A33" s="13" t="s">
        <v>66</v>
      </c>
      <c r="B33" s="14" t="s">
        <v>67</v>
      </c>
      <c r="C33" s="5"/>
      <c r="D33" s="23"/>
      <c r="E33" s="23"/>
      <c r="F33" s="17"/>
      <c r="G33" s="37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</row>
    <row r="34">
      <c r="A34" s="18" t="s">
        <v>68</v>
      </c>
      <c r="B34" s="19" t="s">
        <v>69</v>
      </c>
      <c r="C34" s="5"/>
      <c r="D34" s="23"/>
      <c r="E34" s="23"/>
      <c r="F34" s="27"/>
      <c r="G34" s="36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</row>
    <row r="35">
      <c r="A35" s="22" t="s">
        <v>70</v>
      </c>
      <c r="B35" s="14" t="s">
        <v>71</v>
      </c>
      <c r="C35" s="5"/>
      <c r="D35" s="23"/>
      <c r="E35" s="23"/>
      <c r="F35" s="12"/>
      <c r="G35" s="37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</row>
    <row r="36">
      <c r="A36" s="25" t="s">
        <v>72</v>
      </c>
      <c r="B36" s="19" t="s">
        <v>73</v>
      </c>
      <c r="C36" s="5"/>
      <c r="D36" s="23"/>
      <c r="E36" s="23"/>
      <c r="F36" s="12"/>
      <c r="G36" s="3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</row>
    <row r="37">
      <c r="A37" s="13" t="s">
        <v>74</v>
      </c>
      <c r="B37" s="14" t="s">
        <v>75</v>
      </c>
      <c r="C37" s="5"/>
      <c r="D37" s="23"/>
      <c r="E37" s="23"/>
      <c r="F37" s="27"/>
      <c r="G37" s="27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</row>
    <row r="38">
      <c r="A38" s="9" t="s">
        <v>76</v>
      </c>
      <c r="B38" s="10" t="s">
        <v>77</v>
      </c>
      <c r="C38" s="5"/>
      <c r="D38" s="23"/>
      <c r="E38" s="23"/>
      <c r="F38" s="27"/>
      <c r="G38" s="27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</row>
    <row r="39">
      <c r="A39" s="13" t="s">
        <v>78</v>
      </c>
      <c r="B39" s="14" t="s">
        <v>79</v>
      </c>
      <c r="C39" s="5"/>
      <c r="D39" s="23"/>
      <c r="E39" s="23"/>
      <c r="F39" s="27"/>
      <c r="G39" s="27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</row>
    <row r="40">
      <c r="A40" s="9" t="s">
        <v>80</v>
      </c>
      <c r="B40" s="10" t="s">
        <v>81</v>
      </c>
      <c r="C40" s="5"/>
      <c r="D40" s="23"/>
      <c r="E40" s="23"/>
      <c r="F40" s="27"/>
      <c r="G40" s="27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</row>
    <row r="41">
      <c r="A41" s="13" t="s">
        <v>82</v>
      </c>
      <c r="B41" s="14" t="s">
        <v>83</v>
      </c>
      <c r="C41" s="5"/>
      <c r="D41" s="23"/>
      <c r="E41" s="23"/>
      <c r="F41" s="27"/>
      <c r="G41" s="37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</row>
    <row r="42">
      <c r="A42" s="18" t="s">
        <v>84</v>
      </c>
      <c r="B42" s="19" t="s">
        <v>85</v>
      </c>
      <c r="C42" s="5"/>
      <c r="D42" s="23"/>
      <c r="E42" s="23"/>
      <c r="F42" s="39"/>
      <c r="G42" s="39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</row>
    <row r="43">
      <c r="A43" s="13" t="s">
        <v>86</v>
      </c>
      <c r="B43" s="14" t="s">
        <v>87</v>
      </c>
      <c r="C43" s="5"/>
      <c r="D43" s="23"/>
      <c r="E43" s="23"/>
      <c r="F43" s="40"/>
      <c r="G43" s="40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</row>
    <row r="44">
      <c r="A44" s="18" t="s">
        <v>88</v>
      </c>
      <c r="B44" s="19" t="s">
        <v>89</v>
      </c>
      <c r="C44" s="5"/>
      <c r="D44" s="23"/>
      <c r="E44" s="23"/>
      <c r="F44" s="41"/>
      <c r="G44" s="41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</row>
    <row r="45">
      <c r="A45" s="22" t="s">
        <v>90</v>
      </c>
      <c r="B45" s="14" t="s">
        <v>91</v>
      </c>
      <c r="C45" s="5"/>
      <c r="D45" s="23"/>
      <c r="E45" s="23"/>
      <c r="F45" s="41"/>
      <c r="G45" s="41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</row>
    <row r="46">
      <c r="A46" s="18" t="s">
        <v>92</v>
      </c>
      <c r="B46" s="19" t="s">
        <v>93</v>
      </c>
      <c r="C46" s="5"/>
      <c r="D46" s="23"/>
      <c r="E46" s="23"/>
      <c r="F46" s="41"/>
      <c r="G46" s="41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</row>
    <row r="47">
      <c r="A47" s="13" t="s">
        <v>94</v>
      </c>
      <c r="B47" s="14" t="s">
        <v>95</v>
      </c>
      <c r="C47" s="5"/>
      <c r="D47" s="23"/>
      <c r="E47" s="23"/>
      <c r="F47" s="39"/>
      <c r="G47" s="39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</row>
    <row r="48">
      <c r="A48" s="18" t="s">
        <v>96</v>
      </c>
      <c r="B48" s="19" t="s">
        <v>97</v>
      </c>
      <c r="C48" s="5"/>
      <c r="D48" s="23"/>
      <c r="E48" s="23"/>
      <c r="F48" s="39"/>
      <c r="G48" s="39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</row>
    <row r="49">
      <c r="A49" s="22" t="s">
        <v>98</v>
      </c>
      <c r="B49" s="14" t="s">
        <v>99</v>
      </c>
      <c r="C49" s="5"/>
      <c r="D49" s="23"/>
      <c r="E49" s="23"/>
      <c r="F49" s="27"/>
      <c r="G49" s="27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</row>
    <row r="50">
      <c r="A50" s="25" t="s">
        <v>100</v>
      </c>
      <c r="B50" s="19" t="s">
        <v>101</v>
      </c>
      <c r="C50" s="5"/>
      <c r="D50" s="23"/>
      <c r="E50" s="23"/>
      <c r="F50" s="39"/>
      <c r="G50" s="39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</row>
    <row r="51">
      <c r="A51" s="13" t="s">
        <v>102</v>
      </c>
      <c r="B51" s="14" t="s">
        <v>103</v>
      </c>
      <c r="C51" s="5"/>
      <c r="D51" s="23"/>
      <c r="E51" s="23"/>
      <c r="F51" s="39"/>
      <c r="G51" s="39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</row>
    <row r="52">
      <c r="A52" s="25" t="s">
        <v>104</v>
      </c>
      <c r="B52" s="19" t="s">
        <v>105</v>
      </c>
      <c r="C52" s="5"/>
      <c r="D52" s="23"/>
      <c r="E52" s="23"/>
      <c r="F52" s="39"/>
      <c r="G52" s="39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</row>
    <row r="53">
      <c r="A53" s="13" t="s">
        <v>106</v>
      </c>
      <c r="B53" s="14" t="s">
        <v>107</v>
      </c>
      <c r="C53" s="5"/>
      <c r="D53" s="23"/>
      <c r="E53" s="23"/>
      <c r="F53" s="39"/>
      <c r="G53" s="39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</row>
    <row r="54">
      <c r="A54" s="18" t="s">
        <v>108</v>
      </c>
      <c r="B54" s="19" t="s">
        <v>109</v>
      </c>
      <c r="C54" s="5"/>
      <c r="D54" s="23"/>
      <c r="E54" s="23"/>
      <c r="F54" s="39"/>
      <c r="G54" s="39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</row>
    <row r="55">
      <c r="A55" s="13" t="s">
        <v>110</v>
      </c>
      <c r="B55" s="14" t="s">
        <v>111</v>
      </c>
      <c r="C55" s="5"/>
      <c r="D55" s="23"/>
      <c r="E55" s="23"/>
      <c r="F55" s="39"/>
      <c r="G55" s="39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</row>
    <row r="56">
      <c r="A56" s="25" t="s">
        <v>112</v>
      </c>
      <c r="B56" s="19" t="s">
        <v>113</v>
      </c>
      <c r="C56" s="5"/>
      <c r="D56" s="23"/>
      <c r="E56" s="23"/>
      <c r="F56" s="17"/>
      <c r="G56" s="17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</row>
    <row r="57">
      <c r="A57" s="22" t="s">
        <v>114</v>
      </c>
      <c r="B57" s="14" t="s">
        <v>115</v>
      </c>
      <c r="C57" s="5"/>
      <c r="D57" s="23"/>
      <c r="E57" s="23"/>
      <c r="F57" s="27"/>
      <c r="G57" s="27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</row>
    <row r="58">
      <c r="A58" s="18" t="s">
        <v>116</v>
      </c>
      <c r="B58" s="19" t="s">
        <v>117</v>
      </c>
      <c r="C58" s="5"/>
      <c r="D58" s="23"/>
      <c r="E58" s="23"/>
      <c r="F58" s="12"/>
      <c r="G58" s="12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</row>
    <row r="59">
      <c r="A59" s="13" t="s">
        <v>118</v>
      </c>
      <c r="B59" s="14" t="s">
        <v>119</v>
      </c>
      <c r="C59" s="5"/>
      <c r="D59" s="23"/>
      <c r="E59" s="23"/>
      <c r="F59" s="12"/>
      <c r="G59" s="12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</row>
    <row r="60">
      <c r="A60" s="18" t="s">
        <v>120</v>
      </c>
      <c r="B60" s="33" t="s">
        <v>121</v>
      </c>
      <c r="C60" s="5"/>
      <c r="D60" s="23"/>
      <c r="E60" s="23"/>
      <c r="F60" s="12"/>
      <c r="G60" s="12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</row>
    <row r="61">
      <c r="A61" s="13" t="s">
        <v>122</v>
      </c>
      <c r="B61" s="14" t="s">
        <v>123</v>
      </c>
      <c r="C61" s="5"/>
      <c r="D61" s="23"/>
      <c r="E61" s="23"/>
      <c r="F61" s="42"/>
      <c r="G61" s="42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</row>
    <row r="62">
      <c r="A62" s="25" t="s">
        <v>124</v>
      </c>
      <c r="B62" s="19" t="s">
        <v>125</v>
      </c>
      <c r="C62" s="5"/>
      <c r="D62" s="23"/>
      <c r="E62" s="23"/>
      <c r="F62" s="42"/>
      <c r="G62" s="41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</row>
    <row r="63">
      <c r="A63" s="13" t="s">
        <v>126</v>
      </c>
      <c r="B63" s="14" t="s">
        <v>127</v>
      </c>
      <c r="C63" s="5"/>
      <c r="D63" s="23"/>
      <c r="E63" s="23"/>
      <c r="F63" s="42"/>
      <c r="G63" s="41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</row>
    <row r="64">
      <c r="A64" s="25" t="s">
        <v>128</v>
      </c>
      <c r="B64" s="19" t="s">
        <v>129</v>
      </c>
      <c r="C64" s="5"/>
      <c r="D64" s="23"/>
      <c r="E64" s="23"/>
      <c r="F64" s="42"/>
      <c r="G64" s="42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</row>
    <row r="65">
      <c r="A65" s="22" t="s">
        <v>130</v>
      </c>
      <c r="B65" s="14" t="s">
        <v>131</v>
      </c>
      <c r="C65" s="5"/>
      <c r="D65" s="23"/>
      <c r="E65" s="23"/>
      <c r="F65" s="42"/>
      <c r="G65" s="42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</row>
    <row r="66">
      <c r="A66" s="25" t="s">
        <v>132</v>
      </c>
      <c r="B66" s="19" t="s">
        <v>133</v>
      </c>
      <c r="C66" s="43"/>
      <c r="D66" s="23"/>
      <c r="E66" s="23"/>
      <c r="F66" s="42"/>
      <c r="G66" s="42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</row>
    <row r="67">
      <c r="A67" s="13" t="s">
        <v>134</v>
      </c>
      <c r="B67" s="14" t="s">
        <v>135</v>
      </c>
      <c r="C67" s="5"/>
      <c r="D67" s="23"/>
      <c r="E67" s="23"/>
      <c r="F67" s="27"/>
      <c r="G67" s="27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</row>
    <row r="68">
      <c r="A68" s="18" t="s">
        <v>136</v>
      </c>
      <c r="B68" s="19" t="s">
        <v>137</v>
      </c>
      <c r="C68" s="5"/>
      <c r="D68" s="23"/>
      <c r="E68" s="23"/>
      <c r="F68" s="27"/>
      <c r="G68" s="27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</row>
    <row r="69">
      <c r="A69" s="13" t="s">
        <v>138</v>
      </c>
      <c r="B69" s="26" t="s">
        <v>139</v>
      </c>
      <c r="C69" s="5"/>
      <c r="D69" s="23"/>
      <c r="E69" s="23"/>
      <c r="F69" s="27"/>
      <c r="G69" s="27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</row>
    <row r="70">
      <c r="A70" s="18" t="s">
        <v>140</v>
      </c>
      <c r="B70" s="19" t="s">
        <v>141</v>
      </c>
      <c r="C70" s="5"/>
      <c r="D70" s="23"/>
      <c r="E70" s="23"/>
      <c r="F70" s="6"/>
      <c r="G70" s="6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</row>
    <row r="71">
      <c r="A71" s="22" t="s">
        <v>142</v>
      </c>
      <c r="B71" s="14" t="s">
        <v>143</v>
      </c>
      <c r="C71" s="5"/>
      <c r="D71" s="23"/>
      <c r="E71" s="23"/>
      <c r="F71" s="17"/>
      <c r="G71" s="17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</row>
    <row r="72">
      <c r="A72" s="18" t="s">
        <v>144</v>
      </c>
      <c r="B72" s="19" t="s">
        <v>145</v>
      </c>
      <c r="C72" s="5"/>
      <c r="D72" s="23"/>
      <c r="E72" s="23"/>
      <c r="F72" s="17"/>
      <c r="G72" s="17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</row>
    <row r="73">
      <c r="A73" s="22" t="s">
        <v>146</v>
      </c>
      <c r="B73" s="14" t="s">
        <v>147</v>
      </c>
      <c r="C73" s="5"/>
      <c r="D73" s="23"/>
      <c r="E73" s="23"/>
      <c r="F73" s="17"/>
      <c r="G73" s="17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</row>
    <row r="74">
      <c r="A74" s="25" t="s">
        <v>148</v>
      </c>
      <c r="B74" s="19" t="s">
        <v>149</v>
      </c>
      <c r="C74" s="5"/>
      <c r="D74" s="23"/>
      <c r="E74" s="23"/>
      <c r="F74" s="17"/>
      <c r="G74" s="17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</row>
    <row r="75">
      <c r="A75" s="13" t="s">
        <v>150</v>
      </c>
      <c r="B75" s="26" t="s">
        <v>151</v>
      </c>
      <c r="C75" s="5"/>
      <c r="D75" s="23"/>
      <c r="E75" s="23"/>
      <c r="F75" s="12"/>
      <c r="G75" s="12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</row>
    <row r="76">
      <c r="A76" s="25" t="s">
        <v>152</v>
      </c>
      <c r="B76" s="19" t="s">
        <v>153</v>
      </c>
      <c r="C76" s="5"/>
      <c r="D76" s="23"/>
      <c r="E76" s="23"/>
      <c r="F76" s="12"/>
      <c r="G76" s="12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</row>
    <row r="77">
      <c r="A77" s="22" t="s">
        <v>154</v>
      </c>
      <c r="B77" s="14" t="s">
        <v>155</v>
      </c>
      <c r="C77" s="5"/>
      <c r="D77" s="23"/>
      <c r="E77" s="23"/>
      <c r="F77" s="12"/>
      <c r="G77" s="12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</row>
    <row r="78">
      <c r="A78" s="18" t="s">
        <v>156</v>
      </c>
      <c r="B78" s="19" t="s">
        <v>157</v>
      </c>
      <c r="C78" s="5"/>
      <c r="D78" s="23"/>
      <c r="E78" s="23"/>
      <c r="F78" s="12"/>
      <c r="G78" s="12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</row>
    <row r="79">
      <c r="A79" s="13" t="s">
        <v>158</v>
      </c>
      <c r="B79" s="14" t="s">
        <v>159</v>
      </c>
      <c r="C79" s="5"/>
      <c r="D79" s="23"/>
      <c r="E79" s="23"/>
      <c r="F79" s="17"/>
      <c r="G79" s="17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</row>
    <row r="80">
      <c r="A80" s="25" t="s">
        <v>160</v>
      </c>
      <c r="B80" s="19" t="s">
        <v>161</v>
      </c>
      <c r="C80" s="5"/>
      <c r="D80" s="23"/>
      <c r="E80" s="23"/>
      <c r="F80" s="17"/>
      <c r="G80" s="17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</row>
    <row r="81">
      <c r="A81" s="13" t="s">
        <v>162</v>
      </c>
      <c r="B81" s="26" t="s">
        <v>163</v>
      </c>
      <c r="C81" s="5"/>
      <c r="D81" s="23"/>
      <c r="E81" s="23"/>
      <c r="F81" s="17"/>
      <c r="G81" s="17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</row>
    <row r="82">
      <c r="A82" s="18" t="s">
        <v>164</v>
      </c>
      <c r="B82" s="19" t="s">
        <v>165</v>
      </c>
      <c r="C82" s="5"/>
      <c r="D82" s="23"/>
      <c r="E82" s="23"/>
      <c r="F82" s="17"/>
      <c r="G82" s="17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</row>
    <row r="83">
      <c r="A83" s="44" t="s">
        <v>166</v>
      </c>
      <c r="B83" s="45" t="s">
        <v>167</v>
      </c>
      <c r="C83" s="5"/>
      <c r="D83" s="23"/>
      <c r="E83" s="23"/>
      <c r="F83" s="17"/>
      <c r="G83" s="17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</row>
    <row r="84">
      <c r="A84" s="18" t="s">
        <v>168</v>
      </c>
      <c r="B84" s="33" t="s">
        <v>169</v>
      </c>
      <c r="C84" s="5"/>
      <c r="D84" s="23"/>
      <c r="E84" s="23"/>
      <c r="F84" s="17"/>
      <c r="G84" s="17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</row>
    <row r="85">
      <c r="A85" s="13" t="s">
        <v>170</v>
      </c>
      <c r="B85" s="26" t="s">
        <v>171</v>
      </c>
      <c r="C85" s="5"/>
      <c r="D85" s="23"/>
      <c r="E85" s="23"/>
      <c r="F85" s="12"/>
      <c r="G85" s="12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</row>
    <row r="86">
      <c r="A86" s="18" t="s">
        <v>172</v>
      </c>
      <c r="B86" s="19" t="s">
        <v>173</v>
      </c>
      <c r="C86" s="5"/>
      <c r="D86" s="23"/>
      <c r="E86" s="23"/>
      <c r="F86" s="12"/>
      <c r="G86" s="12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</row>
    <row r="87">
      <c r="A87" s="44" t="s">
        <v>174</v>
      </c>
      <c r="B87" s="45" t="s">
        <v>175</v>
      </c>
      <c r="C87" s="5"/>
      <c r="D87" s="23"/>
      <c r="E87" s="23"/>
      <c r="F87" s="17"/>
      <c r="G87" s="17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</row>
    <row r="88">
      <c r="A88" s="25" t="s">
        <v>176</v>
      </c>
      <c r="B88" s="19" t="s">
        <v>177</v>
      </c>
      <c r="C88" s="5"/>
      <c r="D88" s="23"/>
      <c r="E88" s="23"/>
      <c r="F88" s="12"/>
      <c r="G88" s="12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</row>
    <row r="89">
      <c r="A89" s="13" t="s">
        <v>178</v>
      </c>
      <c r="B89" s="14" t="s">
        <v>179</v>
      </c>
      <c r="C89" s="5"/>
      <c r="D89" s="23"/>
      <c r="E89" s="23"/>
      <c r="F89" s="17"/>
      <c r="G89" s="17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</row>
    <row r="90">
      <c r="A90" s="18" t="s">
        <v>180</v>
      </c>
      <c r="B90" s="19" t="s">
        <v>181</v>
      </c>
      <c r="C90" s="5"/>
      <c r="D90" s="23"/>
      <c r="E90" s="23"/>
      <c r="F90" s="17"/>
      <c r="G90" s="17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</row>
    <row r="91">
      <c r="A91" s="22" t="s">
        <v>182</v>
      </c>
      <c r="B91" s="14" t="s">
        <v>183</v>
      </c>
      <c r="C91" s="5"/>
      <c r="D91" s="23"/>
      <c r="E91" s="23"/>
      <c r="F91" s="12"/>
      <c r="G91" s="12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</row>
    <row r="92">
      <c r="A92" s="18" t="s">
        <v>184</v>
      </c>
      <c r="B92" s="19" t="s">
        <v>185</v>
      </c>
      <c r="C92" s="43"/>
      <c r="D92" s="23"/>
      <c r="E92" s="23"/>
      <c r="F92" s="12"/>
      <c r="G92" s="12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</row>
    <row r="93">
      <c r="A93" s="13" t="s">
        <v>186</v>
      </c>
      <c r="B93" s="14" t="s">
        <v>187</v>
      </c>
      <c r="C93" s="5"/>
      <c r="D93" s="23"/>
      <c r="E93" s="23"/>
      <c r="F93" s="12"/>
      <c r="G93" s="12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</row>
    <row r="94">
      <c r="A94" s="18" t="s">
        <v>188</v>
      </c>
      <c r="B94" s="19" t="s">
        <v>189</v>
      </c>
      <c r="C94" s="5"/>
      <c r="D94" s="23"/>
      <c r="E94" s="23"/>
      <c r="F94" s="12"/>
      <c r="G94" s="12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</row>
    <row r="95">
      <c r="A95" s="22" t="s">
        <v>190</v>
      </c>
      <c r="B95" s="14" t="s">
        <v>191</v>
      </c>
      <c r="C95" s="5"/>
      <c r="D95" s="23"/>
      <c r="E95" s="23"/>
      <c r="F95" s="12"/>
      <c r="G95" s="12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</row>
    <row r="96">
      <c r="A96" s="9" t="s">
        <v>192</v>
      </c>
      <c r="B96" s="10" t="s">
        <v>193</v>
      </c>
      <c r="C96" s="5"/>
      <c r="D96" s="23"/>
      <c r="E96" s="23"/>
      <c r="F96" s="17"/>
      <c r="G96" s="17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</row>
    <row r="97">
      <c r="A97" s="13" t="s">
        <v>194</v>
      </c>
      <c r="B97" s="14" t="s">
        <v>195</v>
      </c>
      <c r="C97" s="5"/>
      <c r="D97" s="23"/>
      <c r="E97" s="23"/>
      <c r="F97" s="12"/>
      <c r="G97" s="12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</row>
    <row r="98">
      <c r="A98" s="18" t="s">
        <v>196</v>
      </c>
      <c r="B98" s="19" t="s">
        <v>197</v>
      </c>
      <c r="C98" s="43"/>
      <c r="D98" s="23"/>
      <c r="E98" s="23"/>
      <c r="F98" s="12"/>
      <c r="G98" s="12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</row>
    <row r="99">
      <c r="A99" s="13" t="s">
        <v>198</v>
      </c>
      <c r="B99" s="26" t="s">
        <v>199</v>
      </c>
      <c r="C99" s="5"/>
      <c r="D99" s="23"/>
      <c r="E99" s="23"/>
      <c r="F99" s="17"/>
      <c r="G99" s="17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</row>
    <row r="100">
      <c r="A100" s="18" t="s">
        <v>200</v>
      </c>
      <c r="B100" s="33" t="s">
        <v>201</v>
      </c>
      <c r="C100" s="5"/>
      <c r="D100" s="23"/>
      <c r="E100" s="23"/>
      <c r="F100" s="17"/>
      <c r="G100" s="17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</row>
    <row r="101">
      <c r="A101" s="22" t="s">
        <v>202</v>
      </c>
      <c r="B101" s="14" t="s">
        <v>203</v>
      </c>
      <c r="C101" s="5"/>
      <c r="D101" s="23"/>
      <c r="E101" s="23"/>
      <c r="F101" s="17"/>
      <c r="G101" s="17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</row>
    <row r="102">
      <c r="A102" s="18" t="s">
        <v>204</v>
      </c>
      <c r="B102" s="19" t="s">
        <v>205</v>
      </c>
      <c r="C102" s="5"/>
      <c r="D102" s="23"/>
      <c r="E102" s="23"/>
      <c r="F102" s="27"/>
      <c r="G102" s="27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</row>
    <row r="103">
      <c r="A103" s="13" t="s">
        <v>206</v>
      </c>
      <c r="B103" s="14" t="s">
        <v>207</v>
      </c>
      <c r="C103" s="5"/>
      <c r="D103" s="23"/>
      <c r="E103" s="23"/>
      <c r="F103" s="36"/>
      <c r="G103" s="36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</row>
    <row r="104">
      <c r="A104" s="18" t="s">
        <v>208</v>
      </c>
      <c r="B104" s="19" t="s">
        <v>209</v>
      </c>
      <c r="C104" s="5"/>
      <c r="D104" s="23"/>
      <c r="E104" s="23"/>
      <c r="F104" s="17"/>
      <c r="G104" s="17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</row>
    <row r="105">
      <c r="A105" s="22" t="s">
        <v>210</v>
      </c>
      <c r="B105" s="14" t="s">
        <v>211</v>
      </c>
      <c r="C105" s="5"/>
      <c r="D105" s="23"/>
      <c r="E105" s="23"/>
      <c r="F105" s="12"/>
      <c r="G105" s="12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</row>
    <row r="106">
      <c r="A106" s="25" t="s">
        <v>212</v>
      </c>
      <c r="B106" s="19" t="s">
        <v>213</v>
      </c>
      <c r="C106" s="5"/>
      <c r="D106" s="23"/>
      <c r="E106" s="23"/>
      <c r="F106" s="12"/>
      <c r="G106" s="12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</row>
    <row r="107">
      <c r="A107" s="13" t="s">
        <v>214</v>
      </c>
      <c r="B107" s="14" t="s">
        <v>215</v>
      </c>
      <c r="C107" s="5"/>
      <c r="D107" s="23"/>
      <c r="E107" s="23"/>
      <c r="F107" s="12"/>
      <c r="G107" s="12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</row>
    <row r="108">
      <c r="A108" s="25" t="s">
        <v>216</v>
      </c>
      <c r="B108" s="19" t="s">
        <v>217</v>
      </c>
      <c r="C108" s="5"/>
      <c r="D108" s="23"/>
      <c r="E108" s="23"/>
      <c r="F108" s="12"/>
      <c r="G108" s="12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</row>
    <row r="109">
      <c r="A109" s="13" t="s">
        <v>218</v>
      </c>
      <c r="B109" s="14" t="s">
        <v>219</v>
      </c>
      <c r="C109" s="5"/>
      <c r="D109" s="23"/>
      <c r="E109" s="23"/>
      <c r="F109" s="42"/>
      <c r="G109" s="42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</row>
    <row r="110">
      <c r="A110" s="18" t="s">
        <v>220</v>
      </c>
      <c r="B110" s="19" t="s">
        <v>221</v>
      </c>
      <c r="C110" s="5"/>
      <c r="D110" s="23"/>
      <c r="E110" s="23"/>
      <c r="F110" s="42"/>
      <c r="G110" s="42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</row>
    <row r="111">
      <c r="A111" s="22" t="s">
        <v>222</v>
      </c>
      <c r="B111" s="14" t="s">
        <v>223</v>
      </c>
      <c r="C111" s="5"/>
      <c r="D111" s="23"/>
      <c r="E111" s="23"/>
      <c r="F111" s="42"/>
      <c r="G111" s="42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</row>
    <row r="112">
      <c r="A112" s="18" t="s">
        <v>224</v>
      </c>
      <c r="B112" s="19" t="s">
        <v>225</v>
      </c>
      <c r="C112" s="5"/>
      <c r="D112" s="23"/>
      <c r="E112" s="23"/>
      <c r="F112" s="42"/>
      <c r="G112" s="42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</row>
    <row r="113">
      <c r="A113" s="13" t="s">
        <v>226</v>
      </c>
      <c r="B113" s="26" t="s">
        <v>227</v>
      </c>
      <c r="C113" s="5"/>
      <c r="D113" s="23"/>
      <c r="E113" s="23"/>
      <c r="F113" s="42"/>
      <c r="G113" s="42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</row>
    <row r="114">
      <c r="A114" s="18" t="s">
        <v>228</v>
      </c>
      <c r="B114" s="19" t="s">
        <v>229</v>
      </c>
      <c r="C114" s="5"/>
      <c r="D114" s="23"/>
      <c r="E114" s="23"/>
      <c r="F114" s="42"/>
      <c r="G114" s="42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</row>
    <row r="115">
      <c r="A115" s="13" t="s">
        <v>230</v>
      </c>
      <c r="B115" s="14" t="s">
        <v>231</v>
      </c>
      <c r="C115" s="5"/>
      <c r="D115" s="23"/>
      <c r="E115" s="23"/>
      <c r="F115" s="42"/>
      <c r="G115" s="42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</row>
    <row r="116">
      <c r="A116" s="25" t="s">
        <v>232</v>
      </c>
      <c r="B116" s="33" t="s">
        <v>233</v>
      </c>
      <c r="C116" s="5"/>
      <c r="D116" s="23"/>
      <c r="E116" s="23"/>
      <c r="F116" s="42"/>
      <c r="G116" s="42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</row>
    <row r="117">
      <c r="A117" s="13" t="s">
        <v>234</v>
      </c>
      <c r="B117" s="14" t="s">
        <v>235</v>
      </c>
      <c r="C117" s="5"/>
      <c r="D117" s="23"/>
      <c r="E117" s="23"/>
      <c r="F117" s="42"/>
      <c r="G117" s="42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</row>
    <row r="118">
      <c r="A118" s="18" t="s">
        <v>236</v>
      </c>
      <c r="B118" s="33" t="s">
        <v>237</v>
      </c>
      <c r="C118" s="5"/>
      <c r="D118" s="23"/>
      <c r="E118" s="23"/>
      <c r="F118" s="42"/>
      <c r="G118" s="42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</row>
    <row r="119">
      <c r="A119" s="13" t="s">
        <v>238</v>
      </c>
      <c r="B119" s="14" t="s">
        <v>239</v>
      </c>
      <c r="C119" s="5"/>
      <c r="D119" s="23"/>
      <c r="E119" s="23"/>
      <c r="F119" s="42"/>
      <c r="G119" s="42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</row>
    <row r="120">
      <c r="A120" s="18" t="s">
        <v>240</v>
      </c>
      <c r="B120" s="19" t="s">
        <v>241</v>
      </c>
      <c r="C120" s="5"/>
      <c r="D120" s="23"/>
      <c r="E120" s="23"/>
      <c r="F120" s="42"/>
      <c r="G120" s="42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</row>
    <row r="121">
      <c r="A121" s="13" t="s">
        <v>242</v>
      </c>
      <c r="B121" s="14" t="s">
        <v>243</v>
      </c>
      <c r="C121" s="5"/>
      <c r="D121" s="23"/>
      <c r="E121" s="23"/>
      <c r="F121" s="42"/>
      <c r="G121" s="42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</row>
    <row r="122">
      <c r="A122" s="25" t="s">
        <v>244</v>
      </c>
      <c r="B122" s="19" t="s">
        <v>245</v>
      </c>
      <c r="C122" s="5"/>
      <c r="D122" s="23"/>
      <c r="E122" s="23"/>
      <c r="F122" s="42"/>
      <c r="G122" s="42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</row>
    <row r="123">
      <c r="A123" s="22" t="s">
        <v>246</v>
      </c>
      <c r="B123" s="14" t="s">
        <v>247</v>
      </c>
      <c r="C123" s="5"/>
      <c r="D123" s="23"/>
      <c r="E123" s="23"/>
      <c r="F123" s="42"/>
      <c r="G123" s="42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</row>
    <row r="124">
      <c r="A124" s="18" t="s">
        <v>248</v>
      </c>
      <c r="B124" s="33" t="s">
        <v>249</v>
      </c>
      <c r="C124" s="5"/>
      <c r="D124" s="23"/>
      <c r="E124" s="23"/>
      <c r="F124" s="42"/>
      <c r="G124" s="42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</row>
    <row r="125">
      <c r="A125" s="13" t="s">
        <v>250</v>
      </c>
      <c r="B125" s="14" t="s">
        <v>251</v>
      </c>
      <c r="C125" s="5"/>
      <c r="D125" s="23"/>
      <c r="E125" s="23"/>
      <c r="F125" s="42"/>
      <c r="G125" s="42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</row>
    <row r="126">
      <c r="A126" s="18" t="s">
        <v>252</v>
      </c>
      <c r="B126" s="19" t="s">
        <v>253</v>
      </c>
      <c r="C126" s="5"/>
      <c r="D126" s="23"/>
      <c r="E126" s="23"/>
      <c r="F126" s="42"/>
      <c r="G126" s="42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</row>
    <row r="127">
      <c r="A127" s="13" t="s">
        <v>254</v>
      </c>
      <c r="B127" s="14" t="s">
        <v>255</v>
      </c>
      <c r="C127" s="5"/>
      <c r="D127" s="23"/>
      <c r="E127" s="23"/>
      <c r="F127" s="42"/>
      <c r="G127" s="42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</row>
    <row r="128">
      <c r="A128" s="18" t="s">
        <v>256</v>
      </c>
      <c r="B128" s="19" t="s">
        <v>257</v>
      </c>
      <c r="C128" s="5"/>
      <c r="D128" s="23"/>
      <c r="E128" s="23"/>
      <c r="F128" s="42"/>
      <c r="G128" s="42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</row>
    <row r="129">
      <c r="A129" s="13" t="s">
        <v>258</v>
      </c>
      <c r="B129" s="14" t="s">
        <v>259</v>
      </c>
      <c r="C129" s="5"/>
      <c r="D129" s="23"/>
      <c r="E129" s="23"/>
      <c r="F129" s="42"/>
      <c r="G129" s="42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</row>
    <row r="130">
      <c r="A130" s="18" t="s">
        <v>260</v>
      </c>
      <c r="B130" s="19" t="s">
        <v>261</v>
      </c>
      <c r="C130" s="5"/>
      <c r="D130" s="23"/>
      <c r="E130" s="23"/>
      <c r="F130" s="42"/>
      <c r="G130" s="42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</row>
    <row r="131">
      <c r="A131" s="44" t="s">
        <v>262</v>
      </c>
      <c r="B131" s="45" t="s">
        <v>263</v>
      </c>
      <c r="C131" s="5"/>
      <c r="D131" s="23"/>
      <c r="E131" s="23"/>
      <c r="F131" s="42"/>
      <c r="G131" s="42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</row>
    <row r="132">
      <c r="A132" s="25" t="s">
        <v>264</v>
      </c>
      <c r="B132" s="19" t="s">
        <v>265</v>
      </c>
      <c r="C132" s="5"/>
      <c r="D132" s="23"/>
      <c r="E132" s="23"/>
      <c r="F132" s="42"/>
      <c r="G132" s="42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</row>
    <row r="133">
      <c r="A133" s="13" t="s">
        <v>266</v>
      </c>
      <c r="B133" s="14" t="s">
        <v>267</v>
      </c>
      <c r="C133" s="5"/>
      <c r="D133" s="23"/>
      <c r="E133" s="23"/>
      <c r="F133" s="42"/>
      <c r="G133" s="42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</row>
    <row r="134">
      <c r="A134" s="25" t="s">
        <v>268</v>
      </c>
      <c r="B134" s="19" t="s">
        <v>269</v>
      </c>
      <c r="C134" s="5"/>
      <c r="D134" s="23"/>
      <c r="E134" s="23"/>
      <c r="F134" s="42"/>
      <c r="G134" s="42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</row>
    <row r="135">
      <c r="A135" s="13" t="s">
        <v>270</v>
      </c>
      <c r="B135" s="14" t="s">
        <v>271</v>
      </c>
      <c r="C135" s="5"/>
      <c r="D135" s="23"/>
      <c r="E135" s="23"/>
      <c r="F135" s="42"/>
      <c r="G135" s="42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</row>
    <row r="136">
      <c r="A136" s="18" t="s">
        <v>272</v>
      </c>
      <c r="B136" s="19" t="s">
        <v>273</v>
      </c>
      <c r="C136" s="5"/>
      <c r="D136" s="23"/>
      <c r="E136" s="23"/>
      <c r="F136" s="42"/>
      <c r="G136" s="42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</row>
    <row r="137">
      <c r="A137" s="22" t="s">
        <v>274</v>
      </c>
      <c r="B137" s="14" t="s">
        <v>275</v>
      </c>
      <c r="C137" s="5"/>
      <c r="D137" s="23"/>
      <c r="E137" s="23"/>
      <c r="F137" s="42"/>
      <c r="G137" s="42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</row>
    <row r="138">
      <c r="A138" s="25" t="s">
        <v>276</v>
      </c>
      <c r="B138" s="19" t="s">
        <v>277</v>
      </c>
      <c r="C138" s="5"/>
      <c r="D138" s="23"/>
      <c r="E138" s="23"/>
      <c r="F138" s="42"/>
      <c r="G138" s="42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</row>
    <row r="139">
      <c r="A139" s="13" t="s">
        <v>278</v>
      </c>
      <c r="B139" s="14" t="s">
        <v>279</v>
      </c>
      <c r="C139" s="43"/>
      <c r="D139" s="23"/>
      <c r="E139" s="23"/>
      <c r="F139" s="42"/>
      <c r="G139" s="42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</row>
    <row r="140">
      <c r="A140" s="25" t="s">
        <v>280</v>
      </c>
      <c r="B140" s="19" t="s">
        <v>281</v>
      </c>
      <c r="C140" s="43"/>
      <c r="D140" s="23"/>
      <c r="E140" s="23"/>
      <c r="F140" s="42"/>
      <c r="G140" s="42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</row>
    <row r="141">
      <c r="A141" s="13" t="s">
        <v>282</v>
      </c>
      <c r="B141" s="14" t="s">
        <v>283</v>
      </c>
      <c r="C141" s="5"/>
      <c r="D141" s="23"/>
      <c r="E141" s="23"/>
      <c r="F141" s="42"/>
      <c r="G141" s="42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</row>
    <row r="142">
      <c r="A142" s="25" t="s">
        <v>284</v>
      </c>
      <c r="B142" s="19" t="s">
        <v>285</v>
      </c>
      <c r="C142" s="5"/>
      <c r="D142" s="23"/>
      <c r="E142" s="23"/>
      <c r="F142" s="42"/>
      <c r="G142" s="42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</row>
    <row r="143">
      <c r="A143" s="13" t="s">
        <v>286</v>
      </c>
      <c r="B143" s="14" t="s">
        <v>287</v>
      </c>
      <c r="C143" s="5"/>
      <c r="D143" s="23"/>
      <c r="E143" s="23"/>
      <c r="F143" s="42"/>
      <c r="G143" s="42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</row>
    <row r="144">
      <c r="A144" s="25" t="s">
        <v>288</v>
      </c>
      <c r="B144" s="19" t="s">
        <v>289</v>
      </c>
      <c r="C144" s="5"/>
      <c r="D144" s="23"/>
      <c r="E144" s="23"/>
      <c r="F144" s="42"/>
      <c r="G144" s="42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</row>
    <row r="145">
      <c r="A145" s="13" t="s">
        <v>290</v>
      </c>
      <c r="B145" s="14" t="s">
        <v>291</v>
      </c>
      <c r="C145" s="5"/>
      <c r="D145" s="23"/>
      <c r="E145" s="23"/>
      <c r="F145" s="42"/>
      <c r="G145" s="42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</row>
    <row r="146">
      <c r="A146" s="18" t="s">
        <v>292</v>
      </c>
      <c r="B146" s="19" t="s">
        <v>293</v>
      </c>
      <c r="C146" s="5"/>
      <c r="D146" s="23"/>
      <c r="E146" s="23"/>
      <c r="F146" s="42"/>
      <c r="G146" s="42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</row>
    <row r="147">
      <c r="A147" s="13" t="s">
        <v>294</v>
      </c>
      <c r="B147" s="14" t="s">
        <v>295</v>
      </c>
      <c r="C147" s="5"/>
      <c r="D147" s="23"/>
      <c r="E147" s="23"/>
      <c r="F147" s="42"/>
      <c r="G147" s="42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</row>
    <row r="148">
      <c r="A148" s="25" t="s">
        <v>296</v>
      </c>
      <c r="B148" s="19" t="s">
        <v>297</v>
      </c>
      <c r="C148" s="5"/>
      <c r="D148" s="23"/>
      <c r="E148" s="23"/>
      <c r="F148" s="42"/>
      <c r="G148" s="42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</row>
    <row r="149">
      <c r="A149" s="22" t="s">
        <v>298</v>
      </c>
      <c r="B149" s="14" t="s">
        <v>299</v>
      </c>
      <c r="C149" s="5"/>
      <c r="D149" s="23"/>
      <c r="E149" s="23"/>
      <c r="F149" s="42"/>
      <c r="G149" s="42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</row>
    <row r="150">
      <c r="A150" s="18" t="s">
        <v>300</v>
      </c>
      <c r="B150" s="33" t="s">
        <v>301</v>
      </c>
      <c r="C150" s="5"/>
      <c r="D150" s="23"/>
      <c r="E150" s="23"/>
      <c r="F150" s="42"/>
      <c r="G150" s="42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</row>
    <row r="151">
      <c r="A151" s="13" t="s">
        <v>302</v>
      </c>
      <c r="B151" s="14" t="s">
        <v>303</v>
      </c>
      <c r="C151" s="5"/>
      <c r="D151" s="23"/>
      <c r="E151" s="23"/>
      <c r="F151" s="42"/>
      <c r="G151" s="42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</row>
    <row r="152">
      <c r="A152" s="25" t="s">
        <v>304</v>
      </c>
      <c r="B152" s="19" t="s">
        <v>305</v>
      </c>
      <c r="C152" s="5"/>
      <c r="D152" s="23"/>
      <c r="E152" s="23"/>
      <c r="F152" s="42"/>
      <c r="G152" s="42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</row>
    <row r="153">
      <c r="A153" s="22" t="s">
        <v>306</v>
      </c>
      <c r="B153" s="14" t="s">
        <v>307</v>
      </c>
      <c r="C153" s="5"/>
      <c r="D153" s="23"/>
      <c r="E153" s="23"/>
      <c r="F153" s="42"/>
      <c r="G153" s="42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</row>
    <row r="154">
      <c r="A154" s="18" t="s">
        <v>308</v>
      </c>
      <c r="B154" s="19" t="s">
        <v>309</v>
      </c>
      <c r="C154" s="5"/>
      <c r="D154" s="23"/>
      <c r="E154" s="23"/>
      <c r="F154" s="42"/>
      <c r="G154" s="42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</row>
    <row r="155">
      <c r="A155" s="22" t="s">
        <v>310</v>
      </c>
      <c r="B155" s="14" t="s">
        <v>311</v>
      </c>
      <c r="C155" s="5"/>
      <c r="D155" s="23"/>
      <c r="E155" s="23"/>
      <c r="F155" s="42"/>
      <c r="G155" s="42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</row>
    <row r="156">
      <c r="A156" s="18" t="s">
        <v>312</v>
      </c>
      <c r="B156" s="19" t="s">
        <v>313</v>
      </c>
      <c r="C156" s="5"/>
      <c r="D156" s="23"/>
      <c r="E156" s="23"/>
      <c r="F156" s="42"/>
      <c r="G156" s="42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</row>
    <row r="157">
      <c r="A157" s="13" t="s">
        <v>314</v>
      </c>
      <c r="B157" s="14" t="s">
        <v>315</v>
      </c>
      <c r="C157" s="5"/>
      <c r="D157" s="23"/>
      <c r="E157" s="23"/>
      <c r="F157" s="42"/>
      <c r="G157" s="42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</row>
    <row r="158">
      <c r="A158" s="25" t="s">
        <v>316</v>
      </c>
      <c r="B158" s="19" t="s">
        <v>317</v>
      </c>
      <c r="C158" s="5"/>
      <c r="D158" s="23"/>
      <c r="E158" s="23"/>
      <c r="F158" s="42"/>
      <c r="G158" s="42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</row>
    <row r="159">
      <c r="A159" s="22" t="s">
        <v>318</v>
      </c>
      <c r="B159" s="14" t="s">
        <v>319</v>
      </c>
      <c r="C159" s="5"/>
      <c r="D159" s="23"/>
      <c r="E159" s="23"/>
      <c r="F159" s="42"/>
      <c r="G159" s="42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</row>
    <row r="160">
      <c r="A160" s="25" t="s">
        <v>320</v>
      </c>
      <c r="B160" s="19" t="s">
        <v>321</v>
      </c>
      <c r="C160" s="5"/>
      <c r="D160" s="23"/>
      <c r="E160" s="23"/>
      <c r="F160" s="42"/>
      <c r="G160" s="42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</row>
    <row r="161">
      <c r="A161" s="13" t="s">
        <v>322</v>
      </c>
      <c r="B161" s="14" t="s">
        <v>323</v>
      </c>
      <c r="C161" s="5"/>
      <c r="D161" s="23"/>
      <c r="E161" s="23"/>
      <c r="F161" s="42"/>
      <c r="G161" s="42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</row>
    <row r="162">
      <c r="A162" s="25" t="s">
        <v>324</v>
      </c>
      <c r="B162" s="19" t="s">
        <v>325</v>
      </c>
      <c r="C162" s="5"/>
      <c r="D162" s="23"/>
      <c r="E162" s="23"/>
      <c r="F162" s="42"/>
      <c r="G162" s="42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</row>
    <row r="163">
      <c r="A163" s="13" t="s">
        <v>326</v>
      </c>
      <c r="B163" s="14" t="s">
        <v>327</v>
      </c>
      <c r="C163" s="5"/>
      <c r="D163" s="23"/>
      <c r="E163" s="23"/>
      <c r="F163" s="42"/>
      <c r="G163" s="42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</row>
    <row r="164">
      <c r="A164" s="25" t="s">
        <v>328</v>
      </c>
      <c r="B164" s="19" t="s">
        <v>329</v>
      </c>
      <c r="C164" s="5"/>
      <c r="D164" s="23"/>
      <c r="E164" s="23"/>
      <c r="F164" s="42"/>
      <c r="G164" s="42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</row>
    <row r="165">
      <c r="A165" s="22" t="s">
        <v>330</v>
      </c>
      <c r="B165" s="14" t="s">
        <v>331</v>
      </c>
      <c r="C165" s="5"/>
      <c r="D165" s="23"/>
      <c r="E165" s="23"/>
      <c r="F165" s="42"/>
      <c r="G165" s="42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</row>
    <row r="166">
      <c r="A166" s="18" t="s">
        <v>332</v>
      </c>
      <c r="B166" s="19" t="s">
        <v>333</v>
      </c>
      <c r="C166" s="5"/>
      <c r="D166" s="23"/>
      <c r="E166" s="23"/>
      <c r="F166" s="42"/>
      <c r="G166" s="42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</row>
    <row r="167">
      <c r="A167" s="13" t="s">
        <v>334</v>
      </c>
      <c r="B167" s="14" t="s">
        <v>335</v>
      </c>
      <c r="C167" s="5"/>
      <c r="D167" s="23"/>
      <c r="E167" s="23"/>
      <c r="F167" s="42"/>
      <c r="G167" s="42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</row>
    <row r="168">
      <c r="A168" s="18" t="s">
        <v>336</v>
      </c>
      <c r="B168" s="19" t="s">
        <v>337</v>
      </c>
      <c r="C168" s="5"/>
      <c r="D168" s="23"/>
      <c r="E168" s="23"/>
      <c r="F168" s="42"/>
      <c r="G168" s="42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</row>
    <row r="169">
      <c r="A169" s="22" t="s">
        <v>338</v>
      </c>
      <c r="B169" s="14" t="s">
        <v>339</v>
      </c>
      <c r="C169" s="5"/>
      <c r="D169" s="23"/>
      <c r="E169" s="23"/>
      <c r="F169" s="42"/>
      <c r="G169" s="42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</row>
    <row r="170">
      <c r="A170" s="25" t="s">
        <v>340</v>
      </c>
      <c r="B170" s="19" t="s">
        <v>341</v>
      </c>
      <c r="C170" s="5"/>
      <c r="D170" s="23"/>
      <c r="E170" s="23"/>
      <c r="F170" s="42"/>
      <c r="G170" s="42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</row>
    <row r="171">
      <c r="A171" s="22" t="s">
        <v>342</v>
      </c>
      <c r="B171" s="14" t="s">
        <v>343</v>
      </c>
      <c r="C171" s="5"/>
      <c r="D171" s="23"/>
      <c r="E171" s="23"/>
      <c r="F171" s="42"/>
      <c r="G171" s="42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</row>
    <row r="172">
      <c r="A172" s="18" t="s">
        <v>344</v>
      </c>
      <c r="B172" s="19" t="s">
        <v>345</v>
      </c>
      <c r="C172" s="5"/>
      <c r="D172" s="23"/>
      <c r="E172" s="23"/>
      <c r="F172" s="42"/>
      <c r="G172" s="42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</row>
    <row r="173">
      <c r="A173" s="22" t="s">
        <v>346</v>
      </c>
      <c r="B173" s="14" t="s">
        <v>347</v>
      </c>
      <c r="C173" s="5"/>
      <c r="D173" s="23"/>
      <c r="E173" s="23"/>
      <c r="F173" s="42"/>
      <c r="G173" s="42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</row>
    <row r="174">
      <c r="A174" s="18" t="s">
        <v>348</v>
      </c>
      <c r="B174" s="19" t="s">
        <v>349</v>
      </c>
      <c r="C174" s="5"/>
      <c r="D174" s="23"/>
      <c r="E174" s="23"/>
      <c r="F174" s="42"/>
      <c r="G174" s="42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</row>
    <row r="175">
      <c r="A175" s="13" t="s">
        <v>350</v>
      </c>
      <c r="B175" s="14" t="s">
        <v>351</v>
      </c>
      <c r="C175" s="5"/>
      <c r="D175" s="23"/>
      <c r="E175" s="23"/>
      <c r="F175" s="42"/>
      <c r="G175" s="42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</row>
    <row r="176">
      <c r="A176" s="25" t="s">
        <v>352</v>
      </c>
      <c r="B176" s="19" t="s">
        <v>353</v>
      </c>
      <c r="C176" s="5"/>
      <c r="D176" s="23"/>
      <c r="E176" s="23"/>
      <c r="F176" s="42"/>
      <c r="G176" s="42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</row>
    <row r="177">
      <c r="A177" s="13" t="s">
        <v>354</v>
      </c>
      <c r="B177" s="14" t="s">
        <v>355</v>
      </c>
      <c r="C177" s="5"/>
      <c r="D177" s="23"/>
      <c r="E177" s="23"/>
      <c r="F177" s="42"/>
      <c r="G177" s="42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</row>
    <row r="178">
      <c r="A178" s="25" t="s">
        <v>356</v>
      </c>
      <c r="B178" s="19" t="s">
        <v>357</v>
      </c>
      <c r="C178" s="5"/>
      <c r="D178" s="23"/>
      <c r="E178" s="23"/>
      <c r="F178" s="42"/>
      <c r="G178" s="42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</row>
    <row r="179">
      <c r="A179" s="22" t="s">
        <v>358</v>
      </c>
      <c r="B179" s="14" t="s">
        <v>359</v>
      </c>
      <c r="C179" s="5"/>
      <c r="D179" s="23"/>
      <c r="E179" s="23"/>
      <c r="F179" s="42"/>
      <c r="G179" s="42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</row>
    <row r="180">
      <c r="A180" s="25" t="s">
        <v>360</v>
      </c>
      <c r="B180" s="19" t="s">
        <v>361</v>
      </c>
      <c r="C180" s="5"/>
      <c r="D180" s="23"/>
      <c r="E180" s="23"/>
      <c r="F180" s="42"/>
      <c r="G180" s="42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</row>
    <row r="181">
      <c r="A181" s="22" t="s">
        <v>362</v>
      </c>
      <c r="B181" s="14" t="s">
        <v>363</v>
      </c>
      <c r="C181" s="5"/>
      <c r="D181" s="23"/>
      <c r="E181" s="23"/>
      <c r="F181" s="42"/>
      <c r="G181" s="42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</row>
    <row r="182">
      <c r="A182" s="18" t="s">
        <v>364</v>
      </c>
      <c r="B182" s="19" t="s">
        <v>365</v>
      </c>
      <c r="C182" s="5"/>
      <c r="D182" s="23"/>
      <c r="E182" s="23"/>
      <c r="F182" s="42"/>
      <c r="G182" s="42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</row>
    <row r="183">
      <c r="A183" s="13" t="s">
        <v>366</v>
      </c>
      <c r="B183" s="14" t="s">
        <v>367</v>
      </c>
      <c r="C183" s="5"/>
      <c r="D183" s="23"/>
      <c r="E183" s="23"/>
      <c r="F183" s="42"/>
      <c r="G183" s="42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</row>
    <row r="184">
      <c r="A184" s="18" t="s">
        <v>368</v>
      </c>
      <c r="B184" s="19" t="s">
        <v>369</v>
      </c>
      <c r="C184" s="5"/>
      <c r="D184" s="23"/>
      <c r="E184" s="23"/>
      <c r="F184" s="42"/>
      <c r="G184" s="42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</row>
    <row r="185">
      <c r="A185" s="13" t="s">
        <v>370</v>
      </c>
      <c r="B185" s="14" t="s">
        <v>371</v>
      </c>
      <c r="C185" s="5"/>
      <c r="D185" s="23"/>
      <c r="E185" s="23"/>
      <c r="F185" s="42"/>
      <c r="G185" s="42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</row>
    <row r="186">
      <c r="A186" s="25" t="s">
        <v>372</v>
      </c>
      <c r="B186" s="19" t="s">
        <v>373</v>
      </c>
      <c r="C186" s="5"/>
      <c r="D186" s="23"/>
      <c r="E186" s="23"/>
      <c r="F186" s="42"/>
      <c r="G186" s="42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</row>
    <row r="187">
      <c r="A187" s="13" t="s">
        <v>374</v>
      </c>
      <c r="B187" s="14" t="s">
        <v>375</v>
      </c>
      <c r="C187" s="5"/>
      <c r="D187" s="23"/>
      <c r="E187" s="23"/>
      <c r="F187" s="42"/>
      <c r="G187" s="42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</row>
    <row r="188">
      <c r="A188" s="18" t="s">
        <v>376</v>
      </c>
      <c r="B188" s="33" t="s">
        <v>377</v>
      </c>
      <c r="C188" s="5"/>
      <c r="D188" s="23"/>
      <c r="E188" s="23"/>
      <c r="F188" s="42"/>
      <c r="G188" s="42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</row>
    <row r="189">
      <c r="A189" s="22" t="s">
        <v>378</v>
      </c>
      <c r="B189" s="14" t="s">
        <v>379</v>
      </c>
      <c r="C189" s="5"/>
      <c r="D189" s="23"/>
      <c r="E189" s="23"/>
      <c r="F189" s="42"/>
      <c r="G189" s="42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</row>
    <row r="190">
      <c r="A190" s="18" t="s">
        <v>380</v>
      </c>
      <c r="B190" s="19" t="s">
        <v>381</v>
      </c>
      <c r="C190" s="5"/>
      <c r="D190" s="23"/>
      <c r="E190" s="23"/>
      <c r="F190" s="42"/>
      <c r="G190" s="42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</row>
    <row r="191">
      <c r="A191" s="13" t="s">
        <v>382</v>
      </c>
      <c r="B191" s="26" t="s">
        <v>383</v>
      </c>
      <c r="C191" s="5"/>
      <c r="D191" s="23"/>
      <c r="E191" s="23"/>
      <c r="F191" s="42"/>
      <c r="G191" s="42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</row>
    <row r="192">
      <c r="A192" s="25" t="s">
        <v>384</v>
      </c>
      <c r="B192" s="19" t="s">
        <v>385</v>
      </c>
      <c r="C192" s="5"/>
      <c r="D192" s="23"/>
      <c r="E192" s="23"/>
      <c r="F192" s="42"/>
      <c r="G192" s="42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</row>
    <row r="193">
      <c r="A193" s="22" t="s">
        <v>386</v>
      </c>
      <c r="B193" s="14" t="s">
        <v>387</v>
      </c>
      <c r="C193" s="5"/>
      <c r="D193" s="23"/>
      <c r="E193" s="23"/>
      <c r="F193" s="42"/>
      <c r="G193" s="42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</row>
    <row r="194">
      <c r="A194" s="18" t="s">
        <v>388</v>
      </c>
      <c r="B194" s="19" t="s">
        <v>389</v>
      </c>
      <c r="C194" s="5"/>
      <c r="D194" s="23"/>
      <c r="E194" s="23"/>
      <c r="F194" s="42"/>
      <c r="G194" s="42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</row>
    <row r="195">
      <c r="A195" s="13" t="s">
        <v>390</v>
      </c>
      <c r="B195" s="14" t="s">
        <v>391</v>
      </c>
      <c r="C195" s="5"/>
      <c r="D195" s="23"/>
      <c r="E195" s="23"/>
      <c r="F195" s="42"/>
      <c r="G195" s="42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</row>
    <row r="196">
      <c r="A196" s="18" t="s">
        <v>392</v>
      </c>
      <c r="B196" s="19" t="s">
        <v>393</v>
      </c>
      <c r="C196" s="5"/>
      <c r="D196" s="23"/>
      <c r="E196" s="23"/>
      <c r="F196" s="42"/>
      <c r="G196" s="42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</row>
    <row r="197">
      <c r="A197" s="13" t="s">
        <v>394</v>
      </c>
      <c r="B197" s="14" t="s">
        <v>395</v>
      </c>
      <c r="C197" s="5"/>
      <c r="D197" s="23"/>
      <c r="E197" s="23"/>
      <c r="F197" s="42"/>
      <c r="G197" s="42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</row>
    <row r="198">
      <c r="A198" s="25" t="s">
        <v>396</v>
      </c>
      <c r="B198" s="19" t="s">
        <v>397</v>
      </c>
      <c r="C198" s="5"/>
      <c r="D198" s="23"/>
      <c r="E198" s="23"/>
      <c r="F198" s="42"/>
      <c r="G198" s="42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</row>
    <row r="199">
      <c r="A199" s="22" t="s">
        <v>398</v>
      </c>
      <c r="B199" s="14" t="s">
        <v>399</v>
      </c>
      <c r="C199" s="5"/>
      <c r="D199" s="23"/>
      <c r="E199" s="23"/>
      <c r="F199" s="42"/>
      <c r="G199" s="42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</row>
    <row r="200">
      <c r="A200" s="18" t="s">
        <v>400</v>
      </c>
      <c r="B200" s="19" t="s">
        <v>401</v>
      </c>
      <c r="C200" s="5"/>
      <c r="D200" s="23"/>
      <c r="E200" s="23"/>
      <c r="F200" s="42"/>
      <c r="G200" s="42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</row>
    <row r="201">
      <c r="A201" s="22" t="s">
        <v>402</v>
      </c>
      <c r="B201" s="14" t="s">
        <v>403</v>
      </c>
      <c r="C201" s="5"/>
      <c r="D201" s="23"/>
      <c r="E201" s="23"/>
      <c r="F201" s="42"/>
      <c r="G201" s="42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</row>
    <row r="202">
      <c r="A202" s="18" t="s">
        <v>404</v>
      </c>
      <c r="B202" s="33" t="s">
        <v>405</v>
      </c>
      <c r="C202" s="5"/>
      <c r="D202" s="23"/>
      <c r="E202" s="23"/>
      <c r="F202" s="42"/>
      <c r="G202" s="42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</row>
    <row r="203">
      <c r="A203" s="13" t="s">
        <v>406</v>
      </c>
      <c r="B203" s="26" t="s">
        <v>407</v>
      </c>
      <c r="C203" s="5"/>
      <c r="D203" s="23"/>
      <c r="E203" s="23"/>
      <c r="F203" s="42"/>
      <c r="G203" s="42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</row>
    <row r="204">
      <c r="A204" s="18" t="s">
        <v>408</v>
      </c>
      <c r="B204" s="33" t="s">
        <v>409</v>
      </c>
      <c r="C204" s="5"/>
      <c r="D204" s="23"/>
      <c r="E204" s="23"/>
      <c r="F204" s="42"/>
      <c r="G204" s="42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</row>
    <row r="205">
      <c r="A205" s="22" t="s">
        <v>410</v>
      </c>
      <c r="B205" s="14" t="s">
        <v>411</v>
      </c>
      <c r="C205" s="5"/>
      <c r="D205" s="23"/>
      <c r="E205" s="23"/>
      <c r="F205" s="42"/>
      <c r="G205" s="42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</row>
    <row r="206">
      <c r="A206" s="18" t="s">
        <v>412</v>
      </c>
      <c r="B206" s="19" t="s">
        <v>413</v>
      </c>
      <c r="C206" s="5"/>
      <c r="D206" s="23"/>
      <c r="E206" s="23"/>
      <c r="F206" s="42"/>
      <c r="G206" s="42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</row>
    <row r="207">
      <c r="A207" s="13" t="s">
        <v>414</v>
      </c>
      <c r="B207" s="14" t="s">
        <v>415</v>
      </c>
      <c r="C207" s="5"/>
      <c r="D207" s="23"/>
      <c r="E207" s="23"/>
      <c r="F207" s="42"/>
      <c r="G207" s="42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</row>
    <row r="208">
      <c r="A208" s="18" t="s">
        <v>416</v>
      </c>
      <c r="B208" s="19" t="s">
        <v>417</v>
      </c>
      <c r="C208" s="5"/>
      <c r="D208" s="23"/>
      <c r="E208" s="23"/>
      <c r="F208" s="42"/>
      <c r="G208" s="42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</row>
    <row r="209">
      <c r="A209" s="13" t="s">
        <v>418</v>
      </c>
      <c r="B209" s="14" t="s">
        <v>419</v>
      </c>
      <c r="C209" s="5"/>
      <c r="D209" s="23"/>
      <c r="E209" s="23"/>
      <c r="F209" s="42"/>
      <c r="G209" s="42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</row>
    <row r="210">
      <c r="A210" s="18" t="s">
        <v>420</v>
      </c>
      <c r="B210" s="19" t="s">
        <v>421</v>
      </c>
      <c r="C210" s="5"/>
      <c r="D210" s="23"/>
      <c r="E210" s="23"/>
      <c r="F210" s="42"/>
      <c r="G210" s="42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</row>
    <row r="211">
      <c r="A211" s="22" t="s">
        <v>422</v>
      </c>
      <c r="B211" s="14" t="s">
        <v>423</v>
      </c>
      <c r="C211" s="5"/>
      <c r="D211" s="23"/>
      <c r="E211" s="23"/>
      <c r="F211" s="42"/>
      <c r="G211" s="42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</row>
    <row r="212">
      <c r="A212" s="25" t="s">
        <v>424</v>
      </c>
      <c r="B212" s="19" t="s">
        <v>425</v>
      </c>
      <c r="C212" s="5"/>
      <c r="D212" s="23"/>
      <c r="E212" s="23"/>
      <c r="F212" s="42"/>
      <c r="G212" s="42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</row>
    <row r="213">
      <c r="A213" s="22" t="s">
        <v>426</v>
      </c>
      <c r="B213" s="14" t="s">
        <v>427</v>
      </c>
      <c r="C213" s="5"/>
      <c r="D213" s="23"/>
      <c r="E213" s="23"/>
      <c r="F213" s="42"/>
      <c r="G213" s="42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</row>
    <row r="214">
      <c r="A214" s="25" t="s">
        <v>428</v>
      </c>
      <c r="B214" s="19" t="s">
        <v>429</v>
      </c>
      <c r="C214" s="5"/>
      <c r="D214" s="23"/>
      <c r="E214" s="23"/>
      <c r="F214" s="42"/>
      <c r="G214" s="42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</row>
    <row r="215">
      <c r="A215" s="22" t="s">
        <v>430</v>
      </c>
      <c r="B215" s="14" t="s">
        <v>431</v>
      </c>
      <c r="C215" s="5"/>
      <c r="D215" s="23"/>
      <c r="E215" s="23"/>
      <c r="F215" s="42"/>
      <c r="G215" s="42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</row>
    <row r="216">
      <c r="A216" s="18" t="s">
        <v>432</v>
      </c>
      <c r="B216" s="19" t="s">
        <v>433</v>
      </c>
      <c r="C216" s="5"/>
      <c r="D216" s="23"/>
      <c r="E216" s="23"/>
      <c r="F216" s="42"/>
      <c r="G216" s="42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</row>
    <row r="217">
      <c r="A217" s="22" t="s">
        <v>434</v>
      </c>
      <c r="B217" s="14" t="s">
        <v>435</v>
      </c>
      <c r="C217" s="5"/>
      <c r="D217" s="23"/>
      <c r="E217" s="23"/>
      <c r="F217" s="42"/>
      <c r="G217" s="42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</row>
    <row r="218">
      <c r="A218" s="25" t="s">
        <v>436</v>
      </c>
      <c r="B218" s="19" t="s">
        <v>437</v>
      </c>
      <c r="C218" s="5"/>
      <c r="D218" s="23"/>
      <c r="E218" s="23"/>
      <c r="F218" s="42"/>
      <c r="G218" s="42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</row>
    <row r="219">
      <c r="A219" s="44" t="s">
        <v>438</v>
      </c>
      <c r="B219" s="45" t="s">
        <v>439</v>
      </c>
      <c r="C219" s="5"/>
      <c r="D219" s="23"/>
      <c r="E219" s="23"/>
      <c r="F219" s="42"/>
      <c r="G219" s="42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</row>
    <row r="220">
      <c r="A220" s="25" t="s">
        <v>440</v>
      </c>
      <c r="B220" s="19" t="s">
        <v>441</v>
      </c>
      <c r="C220" s="5"/>
      <c r="D220" s="23"/>
      <c r="E220" s="23"/>
      <c r="F220" s="42"/>
      <c r="G220" s="42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</row>
    <row r="221">
      <c r="A221" s="13" t="s">
        <v>442</v>
      </c>
      <c r="B221" s="14" t="s">
        <v>443</v>
      </c>
      <c r="C221" s="5"/>
      <c r="D221" s="23"/>
      <c r="E221" s="23"/>
      <c r="F221" s="42"/>
      <c r="G221" s="42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</row>
    <row r="222">
      <c r="A222" s="25" t="s">
        <v>444</v>
      </c>
      <c r="B222" s="19" t="s">
        <v>445</v>
      </c>
      <c r="C222" s="5"/>
      <c r="D222" s="23"/>
      <c r="E222" s="23"/>
      <c r="F222" s="42"/>
      <c r="G222" s="42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</row>
    <row r="223">
      <c r="A223" s="22" t="s">
        <v>446</v>
      </c>
      <c r="B223" s="14" t="s">
        <v>447</v>
      </c>
      <c r="C223" s="5"/>
      <c r="D223" s="23"/>
      <c r="E223" s="23"/>
      <c r="F223" s="42"/>
      <c r="G223" s="42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</row>
    <row r="224">
      <c r="A224" s="18" t="s">
        <v>448</v>
      </c>
      <c r="B224" s="19" t="s">
        <v>449</v>
      </c>
      <c r="C224" s="5"/>
      <c r="D224" s="23"/>
      <c r="E224" s="23"/>
      <c r="F224" s="42"/>
      <c r="G224" s="42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</row>
    <row r="225">
      <c r="A225" s="22" t="s">
        <v>450</v>
      </c>
      <c r="B225" s="14" t="s">
        <v>451</v>
      </c>
      <c r="C225" s="5"/>
      <c r="D225" s="23"/>
      <c r="E225" s="23"/>
      <c r="F225" s="42"/>
      <c r="G225" s="42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</row>
    <row r="226">
      <c r="A226" s="25" t="s">
        <v>452</v>
      </c>
      <c r="B226" s="19" t="s">
        <v>453</v>
      </c>
      <c r="C226" s="5"/>
      <c r="D226" s="23"/>
      <c r="E226" s="23"/>
      <c r="F226" s="42"/>
      <c r="G226" s="42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</row>
    <row r="227">
      <c r="A227" s="13" t="s">
        <v>454</v>
      </c>
      <c r="B227" s="14" t="s">
        <v>455</v>
      </c>
      <c r="C227" s="5"/>
      <c r="D227" s="23"/>
      <c r="E227" s="23"/>
      <c r="F227" s="42"/>
      <c r="G227" s="42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</row>
    <row r="228">
      <c r="A228" s="25" t="s">
        <v>456</v>
      </c>
      <c r="B228" s="19" t="s">
        <v>457</v>
      </c>
      <c r="C228" s="5"/>
      <c r="D228" s="23"/>
      <c r="E228" s="23"/>
      <c r="F228" s="42"/>
      <c r="G228" s="42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</row>
    <row r="229">
      <c r="A229" s="22" t="s">
        <v>458</v>
      </c>
      <c r="B229" s="14" t="s">
        <v>459</v>
      </c>
      <c r="C229" s="5"/>
      <c r="D229" s="23"/>
      <c r="E229" s="23"/>
      <c r="F229" s="42"/>
      <c r="G229" s="42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</row>
    <row r="230">
      <c r="A230" s="9" t="s">
        <v>460</v>
      </c>
      <c r="B230" s="10" t="s">
        <v>461</v>
      </c>
      <c r="C230" s="5"/>
      <c r="D230" s="23"/>
      <c r="E230" s="23"/>
      <c r="F230" s="42"/>
      <c r="G230" s="42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</row>
    <row r="231">
      <c r="A231" s="22" t="s">
        <v>462</v>
      </c>
      <c r="B231" s="14" t="s">
        <v>463</v>
      </c>
      <c r="C231" s="5"/>
      <c r="D231" s="23"/>
      <c r="E231" s="23"/>
      <c r="F231" s="42"/>
      <c r="G231" s="42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</row>
    <row r="232">
      <c r="A232" s="18" t="s">
        <v>464</v>
      </c>
      <c r="B232" s="19" t="s">
        <v>465</v>
      </c>
      <c r="C232" s="5"/>
      <c r="D232" s="23"/>
      <c r="E232" s="23"/>
      <c r="F232" s="42"/>
      <c r="G232" s="42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</row>
    <row r="233">
      <c r="A233" s="13" t="s">
        <v>466</v>
      </c>
      <c r="B233" s="26" t="s">
        <v>467</v>
      </c>
      <c r="C233" s="5"/>
      <c r="D233" s="23"/>
      <c r="E233" s="23"/>
      <c r="F233" s="42"/>
      <c r="G233" s="42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</row>
    <row r="234">
      <c r="A234" s="18" t="s">
        <v>468</v>
      </c>
      <c r="B234" s="19" t="s">
        <v>469</v>
      </c>
      <c r="C234" s="5"/>
      <c r="D234" s="23"/>
      <c r="E234" s="23"/>
      <c r="F234" s="42"/>
      <c r="G234" s="42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</row>
    <row r="235">
      <c r="A235" s="22" t="s">
        <v>470</v>
      </c>
      <c r="B235" s="14" t="s">
        <v>471</v>
      </c>
      <c r="C235" s="5"/>
      <c r="D235" s="23"/>
      <c r="E235" s="23"/>
      <c r="F235" s="42"/>
      <c r="G235" s="42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</row>
    <row r="236">
      <c r="A236" s="25" t="s">
        <v>472</v>
      </c>
      <c r="B236" s="19" t="s">
        <v>473</v>
      </c>
      <c r="C236" s="5"/>
      <c r="D236" s="23"/>
      <c r="E236" s="23"/>
      <c r="F236" s="42"/>
      <c r="G236" s="42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</row>
    <row r="237">
      <c r="A237" s="22" t="s">
        <v>474</v>
      </c>
      <c r="B237" s="14" t="s">
        <v>475</v>
      </c>
      <c r="C237" s="5"/>
      <c r="D237" s="23"/>
      <c r="E237" s="23"/>
      <c r="F237" s="42"/>
      <c r="G237" s="42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</row>
    <row r="238">
      <c r="A238" s="18" t="s">
        <v>476</v>
      </c>
      <c r="B238" s="19" t="s">
        <v>477</v>
      </c>
      <c r="C238" s="5"/>
      <c r="D238" s="23"/>
      <c r="E238" s="23"/>
      <c r="F238" s="42"/>
      <c r="G238" s="42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</row>
    <row r="239">
      <c r="A239" s="22" t="s">
        <v>478</v>
      </c>
      <c r="B239" s="14" t="s">
        <v>479</v>
      </c>
      <c r="C239" s="5"/>
      <c r="D239" s="23"/>
      <c r="E239" s="23"/>
      <c r="F239" s="42"/>
      <c r="G239" s="42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</row>
    <row r="240">
      <c r="A240" s="25" t="s">
        <v>480</v>
      </c>
      <c r="B240" s="19" t="s">
        <v>480</v>
      </c>
      <c r="C240" s="5"/>
      <c r="D240" s="23"/>
      <c r="E240" s="23"/>
      <c r="F240" s="42"/>
      <c r="G240" s="42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</row>
    <row r="241">
      <c r="A241" s="22" t="s">
        <v>481</v>
      </c>
      <c r="B241" s="14" t="s">
        <v>482</v>
      </c>
      <c r="C241" s="5"/>
      <c r="D241" s="23"/>
      <c r="E241" s="23"/>
      <c r="F241" s="42"/>
      <c r="G241" s="42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</row>
    <row r="242">
      <c r="A242" s="25" t="s">
        <v>483</v>
      </c>
      <c r="B242" s="19" t="s">
        <v>484</v>
      </c>
      <c r="C242" s="5"/>
      <c r="D242" s="23"/>
      <c r="E242" s="23"/>
      <c r="F242" s="42"/>
      <c r="G242" s="42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</row>
    <row r="243">
      <c r="A243" s="13" t="s">
        <v>485</v>
      </c>
      <c r="B243" s="14" t="s">
        <v>486</v>
      </c>
      <c r="C243" s="5"/>
      <c r="D243" s="23"/>
      <c r="E243" s="23"/>
      <c r="F243" s="42"/>
      <c r="G243" s="42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</row>
    <row r="244">
      <c r="A244" s="25" t="s">
        <v>487</v>
      </c>
      <c r="B244" s="19" t="s">
        <v>488</v>
      </c>
      <c r="C244" s="5"/>
      <c r="D244" s="23"/>
      <c r="E244" s="23"/>
      <c r="F244" s="42"/>
      <c r="G244" s="42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</row>
    <row r="245">
      <c r="A245" s="13" t="s">
        <v>489</v>
      </c>
      <c r="B245" s="14" t="s">
        <v>490</v>
      </c>
      <c r="C245" s="5"/>
      <c r="D245" s="23"/>
      <c r="E245" s="23"/>
      <c r="F245" s="42"/>
      <c r="G245" s="42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</row>
    <row r="246">
      <c r="A246" s="18" t="s">
        <v>491</v>
      </c>
      <c r="B246" s="19" t="s">
        <v>492</v>
      </c>
      <c r="C246" s="5"/>
      <c r="D246" s="23"/>
      <c r="E246" s="23"/>
      <c r="F246" s="42"/>
      <c r="G246" s="42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</row>
    <row r="247">
      <c r="A247" s="13" t="s">
        <v>493</v>
      </c>
      <c r="B247" s="14" t="s">
        <v>494</v>
      </c>
      <c r="C247" s="5"/>
      <c r="D247" s="23"/>
      <c r="E247" s="23"/>
      <c r="F247" s="42"/>
      <c r="G247" s="42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</row>
    <row r="248">
      <c r="A248" s="18" t="s">
        <v>495</v>
      </c>
      <c r="B248" s="19" t="s">
        <v>496</v>
      </c>
      <c r="C248" s="5"/>
      <c r="D248" s="23"/>
      <c r="E248" s="23"/>
      <c r="F248" s="42"/>
      <c r="G248" s="42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</row>
    <row r="249">
      <c r="A249" s="13" t="s">
        <v>497</v>
      </c>
      <c r="B249" s="14" t="s">
        <v>498</v>
      </c>
      <c r="C249" s="5"/>
      <c r="D249" s="23"/>
      <c r="E249" s="23"/>
      <c r="F249" s="42"/>
      <c r="G249" s="42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</row>
    <row r="250">
      <c r="A250" s="25" t="s">
        <v>499</v>
      </c>
      <c r="B250" s="19" t="s">
        <v>500</v>
      </c>
      <c r="C250" s="5"/>
      <c r="D250" s="23"/>
      <c r="E250" s="23"/>
      <c r="F250" s="42"/>
      <c r="G250" s="42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</row>
    <row r="251">
      <c r="A251" s="22" t="s">
        <v>501</v>
      </c>
      <c r="B251" s="14" t="s">
        <v>502</v>
      </c>
      <c r="C251" s="5"/>
      <c r="D251" s="23"/>
      <c r="E251" s="23"/>
      <c r="F251" s="42"/>
      <c r="G251" s="42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</row>
    <row r="252">
      <c r="A252" s="18" t="s">
        <v>503</v>
      </c>
      <c r="B252" s="33" t="s">
        <v>504</v>
      </c>
      <c r="C252" s="5"/>
      <c r="D252" s="23"/>
      <c r="E252" s="23"/>
      <c r="F252" s="42"/>
      <c r="G252" s="42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</row>
    <row r="253">
      <c r="A253" s="22" t="s">
        <v>505</v>
      </c>
      <c r="B253" s="14" t="s">
        <v>506</v>
      </c>
      <c r="C253" s="5"/>
      <c r="D253" s="23"/>
      <c r="E253" s="23"/>
      <c r="F253" s="42"/>
      <c r="G253" s="42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</row>
    <row r="254">
      <c r="A254" s="25" t="s">
        <v>507</v>
      </c>
      <c r="B254" s="19" t="s">
        <v>508</v>
      </c>
      <c r="C254" s="5"/>
      <c r="D254" s="23"/>
      <c r="E254" s="23"/>
      <c r="F254" s="42"/>
      <c r="G254" s="42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</row>
    <row r="255">
      <c r="A255" s="22" t="s">
        <v>509</v>
      </c>
      <c r="B255" s="14" t="s">
        <v>510</v>
      </c>
      <c r="C255" s="5"/>
      <c r="D255" s="23"/>
      <c r="E255" s="23"/>
      <c r="F255" s="42"/>
      <c r="G255" s="42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</row>
    <row r="256">
      <c r="A256" s="25" t="s">
        <v>511</v>
      </c>
      <c r="B256" s="19" t="s">
        <v>512</v>
      </c>
      <c r="C256" s="5"/>
      <c r="D256" s="23"/>
      <c r="E256" s="23"/>
      <c r="F256" s="42"/>
      <c r="G256" s="42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</row>
    <row r="257">
      <c r="A257" s="22" t="s">
        <v>513</v>
      </c>
      <c r="B257" s="14" t="s">
        <v>514</v>
      </c>
      <c r="C257" s="5"/>
      <c r="D257" s="23"/>
      <c r="E257" s="23"/>
      <c r="F257" s="42"/>
      <c r="G257" s="42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</row>
    <row r="258">
      <c r="A258" s="18" t="s">
        <v>515</v>
      </c>
      <c r="B258" s="19" t="s">
        <v>516</v>
      </c>
      <c r="C258" s="5"/>
      <c r="D258" s="23"/>
      <c r="E258" s="23"/>
      <c r="F258" s="42"/>
      <c r="G258" s="42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</row>
    <row r="259">
      <c r="A259" s="13" t="s">
        <v>517</v>
      </c>
      <c r="B259" s="14" t="s">
        <v>518</v>
      </c>
      <c r="C259" s="5"/>
      <c r="D259" s="23"/>
      <c r="E259" s="23"/>
      <c r="F259" s="42"/>
      <c r="G259" s="42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</row>
    <row r="260">
      <c r="A260" s="18" t="s">
        <v>519</v>
      </c>
      <c r="B260" s="33" t="s">
        <v>520</v>
      </c>
      <c r="C260" s="5"/>
      <c r="D260" s="23"/>
      <c r="E260" s="23"/>
      <c r="F260" s="42"/>
      <c r="G260" s="42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</row>
    <row r="261">
      <c r="A261" s="13" t="s">
        <v>521</v>
      </c>
      <c r="B261" s="14" t="s">
        <v>522</v>
      </c>
      <c r="C261" s="5"/>
      <c r="D261" s="23"/>
      <c r="E261" s="23"/>
      <c r="F261" s="42"/>
      <c r="G261" s="42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</row>
    <row r="262">
      <c r="A262" s="18" t="s">
        <v>523</v>
      </c>
      <c r="B262" s="19" t="s">
        <v>524</v>
      </c>
      <c r="C262" s="5"/>
      <c r="D262" s="23"/>
      <c r="E262" s="23"/>
      <c r="F262" s="42"/>
      <c r="G262" s="42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</row>
    <row r="263">
      <c r="A263" s="22" t="s">
        <v>525</v>
      </c>
      <c r="B263" s="14" t="s">
        <v>526</v>
      </c>
      <c r="C263" s="5"/>
      <c r="D263" s="23"/>
      <c r="E263" s="23"/>
      <c r="F263" s="42"/>
      <c r="G263" s="42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</row>
    <row r="264">
      <c r="A264" s="18" t="s">
        <v>527</v>
      </c>
      <c r="B264" s="19" t="s">
        <v>528</v>
      </c>
      <c r="C264" s="5"/>
      <c r="D264" s="23"/>
      <c r="E264" s="23"/>
      <c r="F264" s="42"/>
      <c r="G264" s="42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</row>
    <row r="265">
      <c r="A265" s="13" t="s">
        <v>529</v>
      </c>
      <c r="B265" s="14" t="s">
        <v>530</v>
      </c>
      <c r="C265" s="43"/>
      <c r="D265" s="23"/>
      <c r="E265" s="23"/>
      <c r="F265" s="42"/>
      <c r="G265" s="42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</row>
    <row r="266">
      <c r="A266" s="18" t="s">
        <v>531</v>
      </c>
      <c r="B266" s="19" t="s">
        <v>532</v>
      </c>
      <c r="C266" s="5"/>
      <c r="D266" s="23"/>
      <c r="E266" s="23"/>
      <c r="F266" s="42"/>
      <c r="G266" s="42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</row>
    <row r="267">
      <c r="A267" s="13" t="s">
        <v>533</v>
      </c>
      <c r="B267" s="14" t="s">
        <v>534</v>
      </c>
      <c r="C267" s="5"/>
      <c r="D267" s="23"/>
      <c r="E267" s="23"/>
      <c r="F267" s="42"/>
      <c r="G267" s="42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</row>
    <row r="268">
      <c r="A268" s="18" t="s">
        <v>535</v>
      </c>
      <c r="B268" s="19" t="s">
        <v>536</v>
      </c>
      <c r="C268" s="5"/>
      <c r="D268" s="23"/>
      <c r="E268" s="23"/>
      <c r="F268" s="42"/>
      <c r="G268" s="42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</row>
    <row r="269">
      <c r="A269" s="13" t="s">
        <v>537</v>
      </c>
      <c r="B269" s="14" t="s">
        <v>538</v>
      </c>
      <c r="C269" s="5"/>
      <c r="D269" s="23"/>
      <c r="E269" s="23"/>
      <c r="F269" s="42"/>
      <c r="G269" s="42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</row>
    <row r="270">
      <c r="A270" s="18" t="s">
        <v>539</v>
      </c>
      <c r="B270" s="19" t="s">
        <v>540</v>
      </c>
      <c r="C270" s="5"/>
      <c r="D270" s="23"/>
      <c r="E270" s="23"/>
      <c r="F270" s="42"/>
      <c r="G270" s="42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</row>
    <row r="271">
      <c r="A271" s="13" t="s">
        <v>541</v>
      </c>
      <c r="B271" s="26" t="s">
        <v>542</v>
      </c>
      <c r="C271" s="5"/>
      <c r="D271" s="23"/>
      <c r="E271" s="23"/>
      <c r="F271" s="42"/>
      <c r="G271" s="42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</row>
    <row r="272">
      <c r="A272" s="25" t="s">
        <v>543</v>
      </c>
      <c r="B272" s="19" t="s">
        <v>544</v>
      </c>
      <c r="C272" s="5"/>
      <c r="D272" s="23"/>
      <c r="E272" s="23"/>
      <c r="F272" s="42"/>
      <c r="G272" s="42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</row>
    <row r="273">
      <c r="A273" s="22" t="s">
        <v>545</v>
      </c>
      <c r="B273" s="14" t="s">
        <v>546</v>
      </c>
      <c r="C273" s="5"/>
      <c r="D273" s="23"/>
      <c r="E273" s="23"/>
      <c r="F273" s="42"/>
      <c r="G273" s="42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</row>
    <row r="274">
      <c r="A274" s="18" t="s">
        <v>547</v>
      </c>
      <c r="B274" s="19" t="s">
        <v>548</v>
      </c>
      <c r="C274" s="5"/>
      <c r="D274" s="23"/>
      <c r="E274" s="23"/>
      <c r="F274" s="42"/>
      <c r="G274" s="42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</row>
    <row r="275">
      <c r="A275" s="22" t="s">
        <v>549</v>
      </c>
      <c r="B275" s="14" t="s">
        <v>550</v>
      </c>
      <c r="C275" s="5"/>
      <c r="D275" s="23"/>
      <c r="E275" s="23"/>
      <c r="F275" s="42"/>
      <c r="G275" s="42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</row>
    <row r="276">
      <c r="A276" s="18" t="s">
        <v>551</v>
      </c>
      <c r="B276" s="19" t="s">
        <v>552</v>
      </c>
      <c r="C276" s="5"/>
      <c r="D276" s="23"/>
      <c r="E276" s="23"/>
      <c r="F276" s="42"/>
      <c r="G276" s="42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</row>
    <row r="277">
      <c r="A277" s="13" t="s">
        <v>553</v>
      </c>
      <c r="B277" s="14" t="s">
        <v>554</v>
      </c>
      <c r="C277" s="5"/>
      <c r="D277" s="23"/>
      <c r="E277" s="23"/>
      <c r="F277" s="42"/>
      <c r="G277" s="42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</row>
    <row r="278">
      <c r="A278" s="18" t="s">
        <v>555</v>
      </c>
      <c r="B278" s="19" t="s">
        <v>556</v>
      </c>
      <c r="C278" s="5"/>
      <c r="D278" s="23"/>
      <c r="E278" s="23"/>
      <c r="F278" s="42"/>
      <c r="G278" s="42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</row>
    <row r="279">
      <c r="A279" s="22" t="s">
        <v>557</v>
      </c>
      <c r="B279" s="14" t="s">
        <v>558</v>
      </c>
      <c r="C279" s="5"/>
      <c r="D279" s="23"/>
      <c r="E279" s="23"/>
      <c r="F279" s="42"/>
      <c r="G279" s="42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</row>
    <row r="280">
      <c r="A280" s="25" t="s">
        <v>559</v>
      </c>
      <c r="B280" s="19" t="s">
        <v>560</v>
      </c>
      <c r="C280" s="5"/>
      <c r="D280" s="23"/>
      <c r="E280" s="23"/>
      <c r="F280" s="42"/>
      <c r="G280" s="42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</row>
    <row r="281">
      <c r="A281" s="44" t="s">
        <v>561</v>
      </c>
      <c r="B281" s="45" t="s">
        <v>562</v>
      </c>
      <c r="C281" s="5"/>
      <c r="D281" s="23"/>
      <c r="E281" s="23"/>
      <c r="F281" s="42"/>
      <c r="G281" s="42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</row>
    <row r="282">
      <c r="A282" s="18" t="s">
        <v>563</v>
      </c>
      <c r="B282" s="33" t="s">
        <v>564</v>
      </c>
      <c r="C282" s="5"/>
      <c r="D282" s="23"/>
      <c r="E282" s="23"/>
      <c r="F282" s="42"/>
      <c r="G282" s="42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</row>
    <row r="283">
      <c r="A283" s="13" t="s">
        <v>565</v>
      </c>
      <c r="B283" s="26" t="s">
        <v>566</v>
      </c>
      <c r="C283" s="5"/>
      <c r="D283" s="23"/>
      <c r="E283" s="23"/>
      <c r="F283" s="42"/>
      <c r="G283" s="42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</row>
    <row r="284">
      <c r="A284" s="18" t="s">
        <v>567</v>
      </c>
      <c r="B284" s="33" t="s">
        <v>568</v>
      </c>
      <c r="C284" s="5"/>
      <c r="D284" s="23"/>
      <c r="E284" s="23"/>
      <c r="F284" s="42"/>
      <c r="G284" s="42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</row>
    <row r="285">
      <c r="A285" s="22" t="s">
        <v>569</v>
      </c>
      <c r="B285" s="14" t="s">
        <v>570</v>
      </c>
      <c r="C285" s="5"/>
      <c r="D285" s="23"/>
      <c r="E285" s="23"/>
      <c r="F285" s="42"/>
      <c r="G285" s="42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</row>
    <row r="286">
      <c r="A286" s="18" t="s">
        <v>571</v>
      </c>
      <c r="B286" s="19" t="s">
        <v>572</v>
      </c>
      <c r="C286" s="5"/>
      <c r="D286" s="23"/>
      <c r="E286" s="23"/>
      <c r="F286" s="42"/>
      <c r="G286" s="42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</row>
    <row r="287">
      <c r="A287" s="22" t="s">
        <v>573</v>
      </c>
      <c r="B287" s="14" t="s">
        <v>574</v>
      </c>
      <c r="C287" s="5"/>
      <c r="D287" s="23"/>
      <c r="E287" s="23"/>
      <c r="F287" s="42"/>
      <c r="G287" s="42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</row>
    <row r="288">
      <c r="A288" s="18" t="s">
        <v>575</v>
      </c>
      <c r="B288" s="19" t="s">
        <v>576</v>
      </c>
      <c r="C288" s="5"/>
      <c r="D288" s="23"/>
      <c r="E288" s="23"/>
      <c r="F288" s="42"/>
      <c r="G288" s="42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</row>
    <row r="289">
      <c r="A289" s="22" t="s">
        <v>577</v>
      </c>
      <c r="B289" s="14" t="s">
        <v>578</v>
      </c>
      <c r="C289" s="5"/>
      <c r="D289" s="23"/>
      <c r="E289" s="23"/>
      <c r="F289" s="42"/>
      <c r="G289" s="42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</row>
    <row r="290">
      <c r="A290" s="18" t="s">
        <v>579</v>
      </c>
      <c r="B290" s="19" t="s">
        <v>580</v>
      </c>
      <c r="C290" s="5"/>
      <c r="D290" s="23"/>
      <c r="E290" s="23"/>
      <c r="F290" s="42"/>
      <c r="G290" s="42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</row>
    <row r="291">
      <c r="A291" s="13" t="s">
        <v>581</v>
      </c>
      <c r="B291" s="14" t="s">
        <v>582</v>
      </c>
      <c r="C291" s="5"/>
      <c r="D291" s="23"/>
      <c r="E291" s="23"/>
      <c r="F291" s="42"/>
      <c r="G291" s="42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</row>
    <row r="292">
      <c r="A292" s="18" t="s">
        <v>583</v>
      </c>
      <c r="B292" s="19" t="s">
        <v>584</v>
      </c>
      <c r="C292" s="5"/>
      <c r="D292" s="23"/>
      <c r="E292" s="23"/>
      <c r="F292" s="42"/>
      <c r="G292" s="42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</row>
    <row r="293">
      <c r="A293" s="13" t="s">
        <v>585</v>
      </c>
      <c r="B293" s="26" t="s">
        <v>586</v>
      </c>
      <c r="C293" s="5"/>
      <c r="D293" s="23"/>
      <c r="E293" s="23"/>
      <c r="F293" s="42"/>
      <c r="G293" s="42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</row>
    <row r="294">
      <c r="A294" s="25" t="s">
        <v>587</v>
      </c>
      <c r="B294" s="19" t="s">
        <v>588</v>
      </c>
      <c r="C294" s="5"/>
      <c r="D294" s="23"/>
      <c r="E294" s="23"/>
      <c r="F294" s="42"/>
      <c r="G294" s="42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</row>
    <row r="295">
      <c r="A295" s="13" t="s">
        <v>589</v>
      </c>
      <c r="B295" s="14" t="s">
        <v>590</v>
      </c>
      <c r="C295" s="5"/>
      <c r="D295" s="23"/>
      <c r="E295" s="23"/>
      <c r="F295" s="42"/>
      <c r="G295" s="42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</row>
    <row r="296">
      <c r="A296" s="18" t="s">
        <v>591</v>
      </c>
      <c r="B296" s="19" t="s">
        <v>592</v>
      </c>
      <c r="C296" s="5"/>
      <c r="D296" s="23"/>
      <c r="E296" s="23"/>
      <c r="F296" s="42"/>
      <c r="G296" s="42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</row>
    <row r="297">
      <c r="A297" s="13" t="s">
        <v>593</v>
      </c>
      <c r="B297" s="14" t="s">
        <v>594</v>
      </c>
      <c r="C297" s="5"/>
      <c r="D297" s="23"/>
      <c r="E297" s="23"/>
      <c r="F297" s="42"/>
      <c r="G297" s="42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</row>
    <row r="298">
      <c r="A298" s="18" t="s">
        <v>595</v>
      </c>
      <c r="B298" s="19" t="s">
        <v>596</v>
      </c>
      <c r="C298" s="5"/>
      <c r="D298" s="23"/>
      <c r="E298" s="23"/>
      <c r="F298" s="42"/>
      <c r="G298" s="42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</row>
    <row r="299">
      <c r="A299" s="13" t="s">
        <v>597</v>
      </c>
      <c r="B299" s="14" t="s">
        <v>598</v>
      </c>
      <c r="C299" s="5"/>
      <c r="D299" s="23"/>
      <c r="E299" s="23"/>
      <c r="F299" s="42"/>
      <c r="G299" s="42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</row>
    <row r="300">
      <c r="A300" s="18" t="s">
        <v>599</v>
      </c>
      <c r="B300" s="19" t="s">
        <v>600</v>
      </c>
      <c r="C300" s="5"/>
      <c r="D300" s="23"/>
      <c r="E300" s="23"/>
      <c r="F300" s="42"/>
      <c r="G300" s="42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</row>
    <row r="301">
      <c r="A301" s="22" t="s">
        <v>601</v>
      </c>
      <c r="B301" s="14" t="s">
        <v>602</v>
      </c>
      <c r="C301" s="5"/>
      <c r="D301" s="23"/>
      <c r="E301" s="23"/>
      <c r="F301" s="42"/>
      <c r="G301" s="42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</row>
    <row r="302">
      <c r="A302" s="25" t="s">
        <v>603</v>
      </c>
      <c r="B302" s="19" t="s">
        <v>604</v>
      </c>
      <c r="C302" s="5"/>
      <c r="D302" s="23"/>
      <c r="E302" s="23"/>
      <c r="F302" s="42"/>
      <c r="G302" s="42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</row>
    <row r="303">
      <c r="A303" s="13" t="s">
        <v>605</v>
      </c>
      <c r="B303" s="14" t="s">
        <v>606</v>
      </c>
      <c r="C303" s="5"/>
      <c r="D303" s="23"/>
      <c r="E303" s="23"/>
      <c r="F303" s="42"/>
      <c r="G303" s="42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</row>
    <row r="304">
      <c r="A304" s="18" t="s">
        <v>607</v>
      </c>
      <c r="B304" s="19" t="s">
        <v>608</v>
      </c>
      <c r="C304" s="5"/>
      <c r="D304" s="23"/>
      <c r="E304" s="23"/>
      <c r="F304" s="42"/>
      <c r="G304" s="42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</row>
    <row r="305">
      <c r="A305" s="13" t="s">
        <v>609</v>
      </c>
      <c r="B305" s="26" t="s">
        <v>610</v>
      </c>
      <c r="C305" s="5"/>
      <c r="D305" s="23"/>
      <c r="E305" s="23"/>
      <c r="F305" s="42"/>
      <c r="G305" s="42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</row>
    <row r="306">
      <c r="A306" s="25" t="s">
        <v>611</v>
      </c>
      <c r="B306" s="19" t="s">
        <v>612</v>
      </c>
      <c r="C306" s="5"/>
      <c r="D306" s="23"/>
      <c r="E306" s="23"/>
      <c r="F306" s="42"/>
      <c r="G306" s="42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</row>
    <row r="307">
      <c r="A307" s="22" t="s">
        <v>613</v>
      </c>
      <c r="B307" s="14" t="s">
        <v>614</v>
      </c>
      <c r="C307" s="5"/>
      <c r="D307" s="23"/>
      <c r="E307" s="23"/>
      <c r="F307" s="42"/>
      <c r="G307" s="42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</row>
    <row r="308">
      <c r="A308" s="18" t="s">
        <v>615</v>
      </c>
      <c r="B308" s="19" t="s">
        <v>616</v>
      </c>
      <c r="C308" s="5"/>
      <c r="D308" s="23"/>
      <c r="E308" s="23"/>
      <c r="F308" s="42"/>
      <c r="G308" s="42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</row>
    <row r="309">
      <c r="A309" s="13" t="s">
        <v>617</v>
      </c>
      <c r="B309" s="14" t="s">
        <v>618</v>
      </c>
      <c r="C309" s="5"/>
      <c r="D309" s="23"/>
      <c r="E309" s="23"/>
      <c r="F309" s="42"/>
      <c r="G309" s="42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</row>
    <row r="310">
      <c r="A310" s="25" t="s">
        <v>619</v>
      </c>
      <c r="B310" s="19" t="s">
        <v>620</v>
      </c>
      <c r="C310" s="5"/>
      <c r="D310" s="23"/>
      <c r="E310" s="23"/>
      <c r="F310" s="42"/>
      <c r="G310" s="42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</row>
    <row r="311">
      <c r="A311" s="13" t="s">
        <v>621</v>
      </c>
      <c r="B311" s="14" t="s">
        <v>622</v>
      </c>
      <c r="C311" s="5"/>
      <c r="D311" s="23"/>
      <c r="E311" s="23"/>
      <c r="F311" s="42"/>
      <c r="G311" s="42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</row>
    <row r="312">
      <c r="A312" s="25" t="s">
        <v>623</v>
      </c>
      <c r="B312" s="19" t="s">
        <v>624</v>
      </c>
      <c r="C312" s="5"/>
      <c r="D312" s="23"/>
      <c r="E312" s="23"/>
      <c r="F312" s="42"/>
      <c r="G312" s="42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</row>
    <row r="313">
      <c r="A313" s="13" t="s">
        <v>625</v>
      </c>
      <c r="B313" s="14" t="s">
        <v>626</v>
      </c>
      <c r="C313" s="5"/>
      <c r="D313" s="23"/>
      <c r="E313" s="23"/>
      <c r="F313" s="42"/>
      <c r="G313" s="42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</row>
    <row r="314">
      <c r="A314" s="9" t="s">
        <v>627</v>
      </c>
      <c r="B314" s="46" t="s">
        <v>628</v>
      </c>
      <c r="C314" s="5"/>
      <c r="D314" s="23"/>
      <c r="E314" s="23"/>
      <c r="F314" s="42"/>
      <c r="G314" s="42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</row>
    <row r="315">
      <c r="A315" s="13" t="s">
        <v>629</v>
      </c>
      <c r="B315" s="14" t="s">
        <v>630</v>
      </c>
      <c r="C315" s="5"/>
      <c r="D315" s="23"/>
      <c r="E315" s="23"/>
      <c r="F315" s="42"/>
      <c r="G315" s="42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</row>
    <row r="316">
      <c r="A316" s="18" t="s">
        <v>631</v>
      </c>
      <c r="B316" s="19" t="s">
        <v>632</v>
      </c>
      <c r="C316" s="5"/>
      <c r="D316" s="23"/>
      <c r="E316" s="23"/>
      <c r="F316" s="42"/>
      <c r="G316" s="42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</row>
    <row r="317">
      <c r="A317" s="13" t="s">
        <v>633</v>
      </c>
      <c r="B317" s="14" t="s">
        <v>634</v>
      </c>
      <c r="C317" s="5"/>
      <c r="D317" s="23"/>
      <c r="E317" s="23"/>
      <c r="F317" s="42"/>
      <c r="G317" s="42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</row>
    <row r="318">
      <c r="A318" s="47" t="s">
        <v>635</v>
      </c>
      <c r="B318" s="19" t="s">
        <v>636</v>
      </c>
      <c r="C318" s="5"/>
      <c r="D318" s="23"/>
      <c r="E318" s="23"/>
      <c r="F318" s="42"/>
      <c r="G318" s="42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</row>
    <row r="319">
      <c r="A319" s="13" t="s">
        <v>637</v>
      </c>
      <c r="B319" s="14" t="s">
        <v>638</v>
      </c>
      <c r="C319" s="5"/>
      <c r="D319" s="23"/>
      <c r="E319" s="23"/>
      <c r="F319" s="42"/>
      <c r="G319" s="42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</row>
    <row r="320">
      <c r="A320" s="18" t="s">
        <v>639</v>
      </c>
      <c r="B320" s="19" t="s">
        <v>640</v>
      </c>
      <c r="C320" s="5"/>
      <c r="D320" s="23"/>
      <c r="E320" s="23"/>
      <c r="F320" s="42"/>
      <c r="G320" s="42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</row>
    <row r="321">
      <c r="A321" s="22" t="s">
        <v>641</v>
      </c>
      <c r="B321" s="14" t="s">
        <v>642</v>
      </c>
      <c r="C321" s="5"/>
      <c r="D321" s="23"/>
      <c r="E321" s="23"/>
      <c r="F321" s="42"/>
      <c r="G321" s="42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</row>
    <row r="322">
      <c r="A322" s="18" t="s">
        <v>643</v>
      </c>
      <c r="B322" s="19" t="s">
        <v>644</v>
      </c>
      <c r="C322" s="5"/>
      <c r="D322" s="23"/>
      <c r="E322" s="23"/>
      <c r="F322" s="42"/>
      <c r="G322" s="42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</row>
    <row r="323">
      <c r="A323" s="22" t="s">
        <v>645</v>
      </c>
      <c r="B323" s="14" t="s">
        <v>646</v>
      </c>
      <c r="C323" s="5"/>
      <c r="D323" s="23"/>
      <c r="E323" s="23"/>
      <c r="F323" s="42"/>
      <c r="G323" s="42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</row>
    <row r="324">
      <c r="A324" s="25" t="s">
        <v>647</v>
      </c>
      <c r="B324" s="19" t="s">
        <v>648</v>
      </c>
      <c r="C324" s="5"/>
      <c r="D324" s="23"/>
      <c r="E324" s="23"/>
      <c r="F324" s="42"/>
      <c r="G324" s="42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</row>
    <row r="325">
      <c r="A325" s="13" t="s">
        <v>649</v>
      </c>
      <c r="B325" s="14" t="s">
        <v>650</v>
      </c>
      <c r="C325" s="5"/>
      <c r="D325" s="23"/>
      <c r="E325" s="23"/>
      <c r="F325" s="42"/>
      <c r="G325" s="42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</row>
    <row r="326">
      <c r="A326" s="25" t="s">
        <v>651</v>
      </c>
      <c r="B326" s="19" t="s">
        <v>652</v>
      </c>
      <c r="C326" s="5"/>
      <c r="D326" s="23"/>
      <c r="E326" s="23"/>
      <c r="F326" s="42"/>
      <c r="G326" s="42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</row>
    <row r="327">
      <c r="A327" s="22" t="s">
        <v>653</v>
      </c>
      <c r="B327" s="14" t="s">
        <v>654</v>
      </c>
      <c r="C327" s="5"/>
      <c r="D327" s="23"/>
      <c r="E327" s="23"/>
      <c r="F327" s="42"/>
      <c r="G327" s="42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</row>
    <row r="328">
      <c r="A328" s="18" t="s">
        <v>655</v>
      </c>
      <c r="B328" s="19" t="s">
        <v>656</v>
      </c>
      <c r="C328" s="5"/>
      <c r="D328" s="23"/>
      <c r="E328" s="23"/>
      <c r="F328" s="42"/>
      <c r="G328" s="42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</row>
    <row r="329">
      <c r="A329" s="13" t="s">
        <v>657</v>
      </c>
      <c r="B329" s="14" t="s">
        <v>658</v>
      </c>
      <c r="C329" s="5"/>
      <c r="D329" s="23"/>
      <c r="E329" s="23"/>
      <c r="F329" s="42"/>
      <c r="G329" s="42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</row>
    <row r="330">
      <c r="A330" s="18" t="s">
        <v>659</v>
      </c>
      <c r="B330" s="19" t="s">
        <v>660</v>
      </c>
      <c r="C330" s="5"/>
      <c r="D330" s="23"/>
      <c r="E330" s="23"/>
      <c r="F330" s="42"/>
      <c r="G330" s="42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</row>
    <row r="331">
      <c r="A331" s="22" t="s">
        <v>661</v>
      </c>
      <c r="B331" s="14" t="s">
        <v>662</v>
      </c>
      <c r="C331" s="5"/>
      <c r="D331" s="23"/>
      <c r="E331" s="23"/>
      <c r="F331" s="42"/>
      <c r="G331" s="42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</row>
    <row r="332">
      <c r="A332" s="25" t="s">
        <v>663</v>
      </c>
      <c r="B332" s="19" t="s">
        <v>664</v>
      </c>
      <c r="C332" s="5"/>
      <c r="D332" s="23"/>
      <c r="E332" s="23"/>
      <c r="F332" s="42"/>
      <c r="G332" s="42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</row>
    <row r="333">
      <c r="A333" s="22" t="s">
        <v>665</v>
      </c>
      <c r="B333" s="14" t="s">
        <v>666</v>
      </c>
      <c r="C333" s="5"/>
      <c r="D333" s="23"/>
      <c r="E333" s="23"/>
      <c r="F333" s="42"/>
      <c r="G333" s="42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</row>
    <row r="334">
      <c r="A334" s="18" t="s">
        <v>667</v>
      </c>
      <c r="B334" s="19" t="s">
        <v>668</v>
      </c>
      <c r="C334" s="5"/>
      <c r="D334" s="23"/>
      <c r="E334" s="23"/>
      <c r="F334" s="42"/>
      <c r="G334" s="42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</row>
    <row r="335">
      <c r="A335" s="22" t="s">
        <v>669</v>
      </c>
      <c r="B335" s="14" t="s">
        <v>670</v>
      </c>
      <c r="C335" s="5"/>
      <c r="D335" s="23"/>
      <c r="E335" s="23"/>
      <c r="F335" s="42"/>
      <c r="G335" s="42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</row>
    <row r="336">
      <c r="A336" s="18" t="s">
        <v>671</v>
      </c>
      <c r="B336" s="19" t="s">
        <v>672</v>
      </c>
      <c r="C336" s="5"/>
      <c r="D336" s="23"/>
      <c r="E336" s="23"/>
      <c r="F336" s="42"/>
      <c r="G336" s="42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</row>
    <row r="337">
      <c r="A337" s="13" t="s">
        <v>673</v>
      </c>
      <c r="B337" s="14" t="s">
        <v>674</v>
      </c>
      <c r="C337" s="5"/>
      <c r="D337" s="23"/>
      <c r="E337" s="23"/>
      <c r="F337" s="42"/>
      <c r="G337" s="42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</row>
    <row r="338">
      <c r="A338" s="18" t="s">
        <v>675</v>
      </c>
      <c r="B338" s="19" t="s">
        <v>676</v>
      </c>
      <c r="C338" s="5"/>
      <c r="D338" s="23"/>
      <c r="E338" s="23"/>
      <c r="F338" s="42"/>
      <c r="G338" s="42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</row>
    <row r="339">
      <c r="A339" s="22" t="s">
        <v>677</v>
      </c>
      <c r="B339" s="14" t="s">
        <v>678</v>
      </c>
      <c r="C339" s="5"/>
      <c r="D339" s="23"/>
      <c r="E339" s="23"/>
      <c r="F339" s="42"/>
      <c r="G339" s="42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</row>
    <row r="340">
      <c r="A340" s="18" t="s">
        <v>679</v>
      </c>
      <c r="B340" s="19" t="s">
        <v>680</v>
      </c>
      <c r="C340" s="5"/>
      <c r="D340" s="23"/>
      <c r="E340" s="23"/>
      <c r="F340" s="42"/>
      <c r="G340" s="42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</row>
    <row r="341">
      <c r="A341" s="13" t="s">
        <v>681</v>
      </c>
      <c r="B341" s="14" t="s">
        <v>682</v>
      </c>
      <c r="C341" s="5"/>
      <c r="D341" s="23"/>
      <c r="E341" s="23"/>
      <c r="F341" s="42"/>
      <c r="G341" s="42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</row>
    <row r="342">
      <c r="A342" s="25" t="s">
        <v>683</v>
      </c>
      <c r="B342" s="19" t="s">
        <v>684</v>
      </c>
      <c r="C342" s="5"/>
      <c r="D342" s="23"/>
      <c r="E342" s="23"/>
      <c r="F342" s="42"/>
      <c r="G342" s="42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</row>
    <row r="343">
      <c r="A343" s="13" t="s">
        <v>685</v>
      </c>
      <c r="B343" s="14" t="s">
        <v>686</v>
      </c>
      <c r="C343" s="5"/>
      <c r="D343" s="23"/>
      <c r="E343" s="23"/>
      <c r="F343" s="42"/>
      <c r="G343" s="42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</row>
    <row r="344">
      <c r="A344" s="25" t="s">
        <v>687</v>
      </c>
      <c r="B344" s="19" t="s">
        <v>688</v>
      </c>
      <c r="C344" s="5"/>
      <c r="D344" s="23"/>
      <c r="E344" s="23"/>
      <c r="F344" s="42"/>
      <c r="G344" s="42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</row>
    <row r="345">
      <c r="A345" s="13" t="s">
        <v>689</v>
      </c>
      <c r="B345" s="14" t="s">
        <v>690</v>
      </c>
      <c r="C345" s="5"/>
      <c r="D345" s="23"/>
      <c r="E345" s="23"/>
      <c r="F345" s="42"/>
      <c r="G345" s="42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</row>
    <row r="346">
      <c r="A346" s="25" t="s">
        <v>691</v>
      </c>
      <c r="B346" s="19" t="s">
        <v>692</v>
      </c>
      <c r="C346" s="5"/>
      <c r="D346" s="23"/>
      <c r="E346" s="23"/>
      <c r="F346" s="42"/>
      <c r="G346" s="42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</row>
    <row r="347">
      <c r="A347" s="13" t="s">
        <v>693</v>
      </c>
      <c r="B347" s="14" t="s">
        <v>694</v>
      </c>
      <c r="C347" s="5"/>
      <c r="D347" s="23"/>
      <c r="E347" s="23"/>
      <c r="F347" s="42"/>
      <c r="G347" s="42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</row>
    <row r="348">
      <c r="A348" s="25" t="s">
        <v>695</v>
      </c>
      <c r="B348" s="19" t="s">
        <v>696</v>
      </c>
      <c r="C348" s="5"/>
      <c r="D348" s="23"/>
      <c r="E348" s="23"/>
      <c r="F348" s="42"/>
      <c r="G348" s="42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</row>
    <row r="349">
      <c r="A349" s="22" t="s">
        <v>697</v>
      </c>
      <c r="B349" s="14" t="s">
        <v>698</v>
      </c>
      <c r="C349" s="5"/>
      <c r="D349" s="23"/>
      <c r="E349" s="23"/>
      <c r="F349" s="42"/>
      <c r="G349" s="42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</row>
    <row r="350">
      <c r="A350" s="25" t="s">
        <v>699</v>
      </c>
      <c r="B350" s="19" t="s">
        <v>700</v>
      </c>
      <c r="C350" s="5"/>
      <c r="D350" s="23"/>
      <c r="E350" s="23"/>
      <c r="F350" s="42"/>
      <c r="G350" s="42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</row>
    <row r="351">
      <c r="A351" s="22" t="s">
        <v>701</v>
      </c>
      <c r="B351" s="14" t="s">
        <v>702</v>
      </c>
      <c r="C351" s="5"/>
      <c r="D351" s="23"/>
      <c r="E351" s="23"/>
      <c r="F351" s="42"/>
      <c r="G351" s="42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</row>
    <row r="352">
      <c r="A352" s="18" t="s">
        <v>703</v>
      </c>
      <c r="B352" s="19" t="s">
        <v>704</v>
      </c>
      <c r="C352" s="5"/>
      <c r="D352" s="23"/>
      <c r="E352" s="23"/>
      <c r="F352" s="42"/>
      <c r="G352" s="42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</row>
    <row r="353">
      <c r="A353" s="22" t="s">
        <v>705</v>
      </c>
      <c r="B353" s="14" t="s">
        <v>706</v>
      </c>
      <c r="C353" s="5"/>
      <c r="D353" s="23"/>
      <c r="E353" s="23"/>
      <c r="F353" s="42"/>
      <c r="G353" s="42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</row>
    <row r="354">
      <c r="A354" s="18" t="s">
        <v>707</v>
      </c>
      <c r="B354" s="19" t="s">
        <v>708</v>
      </c>
      <c r="C354" s="5"/>
      <c r="D354" s="23"/>
      <c r="E354" s="23"/>
      <c r="F354" s="42"/>
      <c r="G354" s="42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</row>
    <row r="355">
      <c r="A355" s="13" t="s">
        <v>709</v>
      </c>
      <c r="B355" s="14" t="s">
        <v>710</v>
      </c>
      <c r="C355" s="5"/>
      <c r="D355" s="23"/>
      <c r="E355" s="23"/>
      <c r="F355" s="42"/>
      <c r="G355" s="42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</row>
    <row r="356">
      <c r="A356" s="18" t="s">
        <v>711</v>
      </c>
      <c r="B356" s="19" t="s">
        <v>712</v>
      </c>
      <c r="C356" s="5"/>
      <c r="D356" s="23"/>
      <c r="E356" s="23"/>
      <c r="F356" s="42"/>
      <c r="G356" s="42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</row>
    <row r="357">
      <c r="A357" s="22" t="s">
        <v>713</v>
      </c>
      <c r="B357" s="14" t="s">
        <v>714</v>
      </c>
      <c r="C357" s="5"/>
      <c r="D357" s="23"/>
      <c r="E357" s="23"/>
      <c r="F357" s="42"/>
      <c r="G357" s="42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</row>
    <row r="358">
      <c r="A358" s="25" t="s">
        <v>715</v>
      </c>
      <c r="B358" s="19" t="s">
        <v>716</v>
      </c>
      <c r="C358" s="5"/>
      <c r="D358" s="23"/>
      <c r="E358" s="23"/>
      <c r="F358" s="42"/>
      <c r="G358" s="42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</row>
    <row r="359">
      <c r="A359" s="13" t="s">
        <v>717</v>
      </c>
      <c r="B359" s="14" t="s">
        <v>718</v>
      </c>
      <c r="C359" s="5"/>
      <c r="D359" s="23"/>
      <c r="E359" s="23"/>
      <c r="F359" s="42"/>
      <c r="G359" s="42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</row>
    <row r="360">
      <c r="A360" s="18" t="s">
        <v>719</v>
      </c>
      <c r="B360" s="33" t="s">
        <v>720</v>
      </c>
      <c r="C360" s="5"/>
      <c r="D360" s="23"/>
      <c r="E360" s="23"/>
      <c r="F360" s="42"/>
      <c r="G360" s="42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</row>
    <row r="361">
      <c r="A361" s="22" t="s">
        <v>721</v>
      </c>
      <c r="B361" s="14" t="s">
        <v>722</v>
      </c>
      <c r="C361" s="5"/>
      <c r="D361" s="23"/>
      <c r="E361" s="23"/>
      <c r="F361" s="42"/>
      <c r="G361" s="42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</row>
    <row r="362">
      <c r="A362" s="18" t="s">
        <v>723</v>
      </c>
      <c r="B362" s="19" t="s">
        <v>724</v>
      </c>
      <c r="C362" s="5"/>
      <c r="D362" s="23"/>
      <c r="E362" s="23"/>
      <c r="F362" s="42"/>
      <c r="G362" s="42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</row>
    <row r="363">
      <c r="A363" s="13" t="s">
        <v>725</v>
      </c>
      <c r="B363" s="26" t="s">
        <v>726</v>
      </c>
      <c r="C363" s="5"/>
      <c r="D363" s="23"/>
      <c r="E363" s="23"/>
      <c r="F363" s="42"/>
      <c r="G363" s="42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</row>
    <row r="364">
      <c r="A364" s="18" t="s">
        <v>727</v>
      </c>
      <c r="B364" s="19" t="s">
        <v>728</v>
      </c>
      <c r="C364" s="5"/>
      <c r="D364" s="23"/>
      <c r="E364" s="23"/>
      <c r="F364" s="42"/>
      <c r="G364" s="42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</row>
    <row r="365">
      <c r="A365" s="13" t="s">
        <v>729</v>
      </c>
      <c r="B365" s="14" t="s">
        <v>730</v>
      </c>
      <c r="C365" s="5"/>
      <c r="D365" s="23"/>
      <c r="E365" s="23"/>
      <c r="F365" s="42"/>
      <c r="G365" s="42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</row>
    <row r="366">
      <c r="A366" s="25" t="s">
        <v>731</v>
      </c>
      <c r="B366" s="19" t="s">
        <v>732</v>
      </c>
      <c r="C366" s="5"/>
      <c r="D366" s="23"/>
      <c r="E366" s="23"/>
      <c r="F366" s="42"/>
      <c r="G366" s="42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</row>
    <row r="367">
      <c r="A367" s="13" t="s">
        <v>733</v>
      </c>
      <c r="B367" s="14" t="s">
        <v>734</v>
      </c>
      <c r="C367" s="5"/>
      <c r="D367" s="23"/>
      <c r="E367" s="23"/>
      <c r="F367" s="42"/>
      <c r="G367" s="42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</row>
    <row r="368">
      <c r="A368" s="18" t="s">
        <v>735</v>
      </c>
      <c r="B368" s="19" t="s">
        <v>736</v>
      </c>
      <c r="C368" s="5"/>
      <c r="D368" s="23"/>
      <c r="E368" s="23"/>
      <c r="F368" s="42"/>
      <c r="G368" s="42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</row>
    <row r="369">
      <c r="A369" s="22" t="s">
        <v>737</v>
      </c>
      <c r="B369" s="14" t="s">
        <v>738</v>
      </c>
      <c r="C369" s="5"/>
      <c r="D369" s="23"/>
      <c r="E369" s="23"/>
      <c r="F369" s="42"/>
      <c r="G369" s="42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</row>
    <row r="370">
      <c r="A370" s="25" t="s">
        <v>739</v>
      </c>
      <c r="B370" s="19" t="s">
        <v>740</v>
      </c>
      <c r="C370" s="5"/>
      <c r="D370" s="23"/>
      <c r="E370" s="23"/>
      <c r="F370" s="42"/>
      <c r="G370" s="42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</row>
    <row r="371">
      <c r="A371" s="22" t="s">
        <v>741</v>
      </c>
      <c r="B371" s="14" t="s">
        <v>742</v>
      </c>
      <c r="C371" s="5"/>
      <c r="D371" s="23"/>
      <c r="E371" s="23"/>
      <c r="F371" s="42"/>
      <c r="G371" s="42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</row>
    <row r="372">
      <c r="A372" s="18" t="s">
        <v>743</v>
      </c>
      <c r="B372" s="19" t="s">
        <v>744</v>
      </c>
      <c r="C372" s="5"/>
      <c r="D372" s="23"/>
      <c r="E372" s="23"/>
      <c r="F372" s="42"/>
      <c r="G372" s="42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</row>
    <row r="373">
      <c r="A373" s="13" t="s">
        <v>745</v>
      </c>
      <c r="B373" s="26" t="s">
        <v>746</v>
      </c>
      <c r="C373" s="5"/>
      <c r="D373" s="23"/>
      <c r="E373" s="23"/>
      <c r="F373" s="42"/>
      <c r="G373" s="42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</row>
    <row r="374">
      <c r="A374" s="18" t="s">
        <v>747</v>
      </c>
      <c r="B374" s="33" t="s">
        <v>748</v>
      </c>
      <c r="C374" s="5"/>
      <c r="D374" s="23"/>
      <c r="E374" s="23"/>
      <c r="F374" s="42"/>
      <c r="G374" s="42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</row>
    <row r="375">
      <c r="A375" s="13" t="s">
        <v>749</v>
      </c>
      <c r="B375" s="26" t="s">
        <v>750</v>
      </c>
      <c r="C375" s="5"/>
      <c r="D375" s="23"/>
      <c r="E375" s="23"/>
      <c r="F375" s="42"/>
      <c r="G375" s="42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</row>
    <row r="376">
      <c r="A376" s="18" t="s">
        <v>751</v>
      </c>
      <c r="B376" s="19" t="s">
        <v>752</v>
      </c>
      <c r="C376" s="5"/>
      <c r="D376" s="23"/>
      <c r="E376" s="23"/>
      <c r="F376" s="42"/>
      <c r="G376" s="42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</row>
    <row r="377">
      <c r="A377" s="13" t="s">
        <v>753</v>
      </c>
      <c r="B377" s="26" t="s">
        <v>754</v>
      </c>
      <c r="C377" s="5"/>
      <c r="D377" s="23"/>
      <c r="E377" s="23"/>
      <c r="F377" s="42"/>
      <c r="G377" s="42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</row>
    <row r="378">
      <c r="A378" s="25" t="s">
        <v>755</v>
      </c>
      <c r="B378" s="19" t="s">
        <v>756</v>
      </c>
      <c r="C378" s="5"/>
      <c r="D378" s="23"/>
      <c r="E378" s="23"/>
      <c r="F378" s="42"/>
      <c r="G378" s="42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</row>
    <row r="379">
      <c r="A379" s="13" t="s">
        <v>757</v>
      </c>
      <c r="B379" s="14" t="s">
        <v>758</v>
      </c>
      <c r="C379" s="5"/>
      <c r="D379" s="23"/>
      <c r="E379" s="23"/>
      <c r="F379" s="42"/>
      <c r="G379" s="42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</row>
    <row r="380">
      <c r="A380" s="25" t="s">
        <v>759</v>
      </c>
      <c r="B380" s="19" t="s">
        <v>760</v>
      </c>
      <c r="C380" s="5"/>
      <c r="D380" s="23"/>
      <c r="E380" s="23"/>
      <c r="F380" s="42"/>
      <c r="G380" s="42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</row>
    <row r="381">
      <c r="A381" s="13" t="s">
        <v>761</v>
      </c>
      <c r="B381" s="26" t="s">
        <v>762</v>
      </c>
      <c r="C381" s="5"/>
      <c r="D381" s="23"/>
      <c r="E381" s="23"/>
      <c r="F381" s="42"/>
      <c r="G381" s="42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</row>
    <row r="382">
      <c r="A382" s="25" t="s">
        <v>763</v>
      </c>
      <c r="B382" s="19" t="s">
        <v>764</v>
      </c>
      <c r="C382" s="5"/>
      <c r="D382" s="23"/>
      <c r="E382" s="23"/>
      <c r="F382" s="42"/>
      <c r="G382" s="42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</row>
    <row r="383">
      <c r="A383" s="13" t="s">
        <v>765</v>
      </c>
      <c r="B383" s="14" t="s">
        <v>766</v>
      </c>
      <c r="C383" s="5"/>
      <c r="D383" s="23"/>
      <c r="E383" s="23"/>
      <c r="F383" s="42"/>
      <c r="G383" s="42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</row>
    <row r="384">
      <c r="A384" s="25" t="s">
        <v>767</v>
      </c>
      <c r="B384" s="19" t="s">
        <v>768</v>
      </c>
      <c r="C384" s="5"/>
      <c r="D384" s="23"/>
      <c r="E384" s="23"/>
      <c r="F384" s="42"/>
      <c r="G384" s="42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</row>
    <row r="385">
      <c r="A385" s="13" t="s">
        <v>769</v>
      </c>
      <c r="B385" s="26" t="s">
        <v>770</v>
      </c>
      <c r="C385" s="5"/>
      <c r="D385" s="23"/>
      <c r="E385" s="23"/>
      <c r="F385" s="42"/>
      <c r="G385" s="42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</row>
    <row r="386">
      <c r="A386" s="18" t="s">
        <v>771</v>
      </c>
      <c r="B386" s="19" t="s">
        <v>772</v>
      </c>
      <c r="C386" s="5"/>
      <c r="D386" s="23"/>
      <c r="E386" s="23"/>
      <c r="F386" s="42"/>
      <c r="G386" s="42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</row>
    <row r="387">
      <c r="A387" s="22" t="s">
        <v>773</v>
      </c>
      <c r="B387" s="14" t="s">
        <v>774</v>
      </c>
      <c r="C387" s="5"/>
      <c r="D387" s="23"/>
      <c r="E387" s="23"/>
      <c r="F387" s="42"/>
      <c r="G387" s="42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</row>
    <row r="388">
      <c r="A388" s="18" t="s">
        <v>775</v>
      </c>
      <c r="B388" s="19" t="s">
        <v>776</v>
      </c>
      <c r="C388" s="5"/>
      <c r="D388" s="23"/>
      <c r="E388" s="23"/>
      <c r="F388" s="42"/>
      <c r="G388" s="42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</row>
    <row r="389">
      <c r="A389" s="22" t="s">
        <v>777</v>
      </c>
      <c r="B389" s="14" t="s">
        <v>778</v>
      </c>
      <c r="C389" s="5"/>
      <c r="D389" s="23"/>
      <c r="E389" s="23"/>
      <c r="F389" s="42"/>
      <c r="G389" s="42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</row>
    <row r="390">
      <c r="A390" s="9" t="s">
        <v>779</v>
      </c>
      <c r="B390" s="10" t="s">
        <v>780</v>
      </c>
      <c r="C390" s="5"/>
      <c r="D390" s="23"/>
      <c r="E390" s="23"/>
      <c r="F390" s="42"/>
      <c r="G390" s="42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</row>
    <row r="391">
      <c r="A391" s="44" t="s">
        <v>781</v>
      </c>
      <c r="B391" s="45" t="s">
        <v>782</v>
      </c>
      <c r="C391" s="5"/>
      <c r="D391" s="23"/>
      <c r="E391" s="23"/>
      <c r="F391" s="42"/>
      <c r="G391" s="42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</row>
    <row r="392">
      <c r="A392" s="25" t="s">
        <v>783</v>
      </c>
      <c r="B392" s="19" t="s">
        <v>784</v>
      </c>
      <c r="C392" s="5"/>
      <c r="D392" s="23"/>
      <c r="E392" s="23"/>
      <c r="F392" s="42"/>
      <c r="G392" s="42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</row>
    <row r="393">
      <c r="A393" s="22" t="s">
        <v>785</v>
      </c>
      <c r="B393" s="14" t="s">
        <v>786</v>
      </c>
      <c r="C393" s="5"/>
      <c r="D393" s="23"/>
      <c r="E393" s="23"/>
      <c r="F393" s="42"/>
      <c r="G393" s="42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</row>
    <row r="394">
      <c r="A394" s="25" t="s">
        <v>787</v>
      </c>
      <c r="B394" s="19" t="s">
        <v>788</v>
      </c>
      <c r="C394" s="5"/>
      <c r="D394" s="23"/>
      <c r="E394" s="23"/>
      <c r="F394" s="42"/>
      <c r="G394" s="42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</row>
    <row r="395">
      <c r="A395" s="22" t="s">
        <v>789</v>
      </c>
      <c r="B395" s="14" t="s">
        <v>790</v>
      </c>
      <c r="C395" s="5"/>
      <c r="D395" s="23"/>
      <c r="E395" s="23"/>
      <c r="F395" s="42"/>
      <c r="G395" s="42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</row>
    <row r="396">
      <c r="A396" s="25" t="s">
        <v>791</v>
      </c>
      <c r="B396" s="19" t="s">
        <v>792</v>
      </c>
      <c r="C396" s="5"/>
      <c r="D396" s="23"/>
      <c r="E396" s="23"/>
      <c r="F396" s="42"/>
      <c r="G396" s="42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</row>
    <row r="397">
      <c r="A397" s="13" t="s">
        <v>793</v>
      </c>
      <c r="B397" s="14" t="s">
        <v>794</v>
      </c>
      <c r="C397" s="5"/>
      <c r="D397" s="23"/>
      <c r="E397" s="23"/>
      <c r="F397" s="42"/>
      <c r="G397" s="42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</row>
    <row r="398">
      <c r="A398" s="25" t="s">
        <v>795</v>
      </c>
      <c r="B398" s="19" t="s">
        <v>796</v>
      </c>
      <c r="C398" s="5"/>
      <c r="D398" s="23"/>
      <c r="E398" s="23"/>
      <c r="F398" s="42"/>
      <c r="G398" s="42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</row>
    <row r="399">
      <c r="A399" s="22" t="s">
        <v>797</v>
      </c>
      <c r="B399" s="14" t="s">
        <v>798</v>
      </c>
      <c r="C399" s="5"/>
      <c r="D399" s="23"/>
      <c r="E399" s="23"/>
      <c r="F399" s="42"/>
      <c r="G399" s="42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</row>
    <row r="400">
      <c r="A400" s="25" t="s">
        <v>799</v>
      </c>
      <c r="B400" s="19" t="s">
        <v>800</v>
      </c>
      <c r="C400" s="5"/>
      <c r="D400" s="23"/>
      <c r="E400" s="23"/>
      <c r="F400" s="42"/>
      <c r="G400" s="42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</row>
    <row r="401">
      <c r="A401" s="22" t="s">
        <v>801</v>
      </c>
      <c r="B401" s="14" t="s">
        <v>802</v>
      </c>
      <c r="C401" s="5"/>
      <c r="D401" s="23"/>
      <c r="E401" s="23"/>
      <c r="F401" s="42"/>
      <c r="G401" s="42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</row>
    <row r="402">
      <c r="A402" s="25" t="s">
        <v>803</v>
      </c>
      <c r="B402" s="19" t="s">
        <v>804</v>
      </c>
      <c r="C402" s="5"/>
      <c r="D402" s="23"/>
      <c r="E402" s="23"/>
      <c r="F402" s="42"/>
      <c r="G402" s="42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</row>
    <row r="403">
      <c r="A403" s="13" t="s">
        <v>805</v>
      </c>
      <c r="B403" s="14" t="s">
        <v>806</v>
      </c>
      <c r="C403" s="5"/>
      <c r="D403" s="23"/>
      <c r="E403" s="23"/>
      <c r="F403" s="42"/>
      <c r="G403" s="42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</row>
    <row r="404">
      <c r="A404" s="25" t="s">
        <v>807</v>
      </c>
      <c r="B404" s="19" t="s">
        <v>808</v>
      </c>
      <c r="C404" s="5"/>
      <c r="D404" s="23"/>
      <c r="E404" s="23"/>
      <c r="F404" s="42"/>
      <c r="G404" s="42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</row>
    <row r="405">
      <c r="A405" s="13" t="s">
        <v>809</v>
      </c>
      <c r="B405" s="14" t="s">
        <v>810</v>
      </c>
      <c r="C405" s="5"/>
      <c r="D405" s="23"/>
      <c r="E405" s="23"/>
      <c r="F405" s="42"/>
      <c r="G405" s="42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</row>
    <row r="406">
      <c r="A406" s="18" t="s">
        <v>811</v>
      </c>
      <c r="B406" s="33" t="s">
        <v>812</v>
      </c>
      <c r="C406" s="5"/>
      <c r="D406" s="23"/>
      <c r="E406" s="23"/>
      <c r="F406" s="42"/>
      <c r="G406" s="42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</row>
    <row r="407">
      <c r="A407" s="22" t="s">
        <v>813</v>
      </c>
      <c r="B407" s="14" t="s">
        <v>814</v>
      </c>
      <c r="C407" s="5"/>
      <c r="D407" s="23"/>
      <c r="E407" s="23"/>
      <c r="F407" s="42"/>
      <c r="G407" s="42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</row>
    <row r="408">
      <c r="A408" s="18" t="s">
        <v>815</v>
      </c>
      <c r="B408" s="19" t="s">
        <v>816</v>
      </c>
      <c r="C408" s="5"/>
      <c r="D408" s="23"/>
      <c r="E408" s="23"/>
      <c r="F408" s="42"/>
      <c r="G408" s="42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</row>
    <row r="409">
      <c r="A409" s="13" t="s">
        <v>817</v>
      </c>
      <c r="B409" s="26" t="s">
        <v>818</v>
      </c>
      <c r="C409" s="5"/>
      <c r="D409" s="23"/>
      <c r="E409" s="23"/>
      <c r="F409" s="42"/>
      <c r="G409" s="42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</row>
    <row r="410">
      <c r="A410" s="18" t="s">
        <v>819</v>
      </c>
      <c r="B410" s="19" t="s">
        <v>820</v>
      </c>
      <c r="C410" s="5"/>
      <c r="D410" s="23"/>
      <c r="E410" s="23"/>
      <c r="F410" s="42"/>
      <c r="G410" s="42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</row>
    <row r="411">
      <c r="A411" s="13" t="s">
        <v>821</v>
      </c>
      <c r="B411" s="14" t="s">
        <v>822</v>
      </c>
      <c r="C411" s="5"/>
      <c r="D411" s="23"/>
      <c r="E411" s="23"/>
      <c r="F411" s="42"/>
      <c r="G411" s="42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</row>
    <row r="412">
      <c r="A412" s="25" t="s">
        <v>823</v>
      </c>
      <c r="B412" s="19" t="s">
        <v>824</v>
      </c>
      <c r="C412" s="5"/>
      <c r="D412" s="23"/>
      <c r="E412" s="23"/>
      <c r="F412" s="42"/>
      <c r="G412" s="42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</row>
    <row r="413">
      <c r="A413" s="13" t="s">
        <v>825</v>
      </c>
      <c r="B413" s="14" t="s">
        <v>826</v>
      </c>
      <c r="C413" s="5"/>
      <c r="D413" s="23"/>
      <c r="E413" s="23"/>
      <c r="F413" s="42"/>
      <c r="G413" s="42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</row>
    <row r="414">
      <c r="A414" s="25" t="s">
        <v>827</v>
      </c>
      <c r="B414" s="19" t="s">
        <v>828</v>
      </c>
      <c r="C414" s="5"/>
      <c r="D414" s="23"/>
      <c r="E414" s="23"/>
      <c r="F414" s="42"/>
      <c r="G414" s="42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</row>
    <row r="415">
      <c r="A415" s="13" t="s">
        <v>829</v>
      </c>
      <c r="B415" s="26" t="s">
        <v>830</v>
      </c>
      <c r="C415" s="5"/>
      <c r="D415" s="23"/>
      <c r="E415" s="23"/>
      <c r="F415" s="42"/>
      <c r="G415" s="42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</row>
    <row r="416">
      <c r="A416" s="18" t="s">
        <v>831</v>
      </c>
      <c r="B416" s="33" t="s">
        <v>832</v>
      </c>
      <c r="C416" s="5"/>
      <c r="D416" s="23"/>
      <c r="E416" s="23"/>
      <c r="F416" s="42"/>
      <c r="G416" s="42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</row>
    <row r="417">
      <c r="A417" s="22" t="s">
        <v>833</v>
      </c>
      <c r="B417" s="14" t="s">
        <v>834</v>
      </c>
      <c r="C417" s="43"/>
      <c r="D417" s="23"/>
      <c r="E417" s="23"/>
      <c r="F417" s="42"/>
      <c r="G417" s="42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</row>
    <row r="418">
      <c r="A418" s="18" t="s">
        <v>835</v>
      </c>
      <c r="B418" s="19" t="s">
        <v>836</v>
      </c>
      <c r="C418" s="5"/>
      <c r="D418" s="23"/>
      <c r="E418" s="23"/>
      <c r="F418" s="42"/>
      <c r="G418" s="42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</row>
    <row r="419">
      <c r="A419" s="13" t="s">
        <v>837</v>
      </c>
      <c r="B419" s="14" t="s">
        <v>838</v>
      </c>
      <c r="C419" s="5"/>
      <c r="D419" s="23"/>
      <c r="E419" s="23"/>
      <c r="F419" s="42"/>
      <c r="G419" s="42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</row>
    <row r="420">
      <c r="A420" s="25" t="s">
        <v>839</v>
      </c>
      <c r="B420" s="19" t="s">
        <v>840</v>
      </c>
      <c r="C420" s="5"/>
      <c r="D420" s="23"/>
      <c r="E420" s="23"/>
      <c r="F420" s="42"/>
      <c r="G420" s="42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</row>
    <row r="421">
      <c r="A421" s="13" t="s">
        <v>841</v>
      </c>
      <c r="B421" s="14" t="s">
        <v>842</v>
      </c>
      <c r="C421" s="5"/>
      <c r="D421" s="23"/>
      <c r="E421" s="23"/>
      <c r="F421" s="42"/>
      <c r="G421" s="42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</row>
    <row r="422">
      <c r="A422" s="25" t="s">
        <v>843</v>
      </c>
      <c r="B422" s="19" t="s">
        <v>844</v>
      </c>
      <c r="C422" s="5"/>
      <c r="D422" s="23"/>
      <c r="E422" s="23"/>
      <c r="F422" s="42"/>
      <c r="G422" s="42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</row>
    <row r="423">
      <c r="A423" s="13" t="s">
        <v>845</v>
      </c>
      <c r="B423" s="14" t="s">
        <v>846</v>
      </c>
      <c r="C423" s="5"/>
      <c r="D423" s="23"/>
      <c r="E423" s="23"/>
      <c r="F423" s="42"/>
      <c r="G423" s="42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</row>
    <row r="424">
      <c r="A424" s="18" t="s">
        <v>847</v>
      </c>
      <c r="B424" s="19" t="s">
        <v>848</v>
      </c>
      <c r="C424" s="5"/>
      <c r="D424" s="23"/>
      <c r="E424" s="23"/>
      <c r="F424" s="42"/>
      <c r="G424" s="42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</row>
    <row r="425">
      <c r="A425" s="13" t="s">
        <v>849</v>
      </c>
      <c r="B425" s="14" t="s">
        <v>850</v>
      </c>
      <c r="C425" s="5"/>
      <c r="D425" s="23"/>
      <c r="E425" s="23"/>
      <c r="F425" s="42"/>
      <c r="G425" s="42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</row>
    <row r="426">
      <c r="A426" s="18" t="s">
        <v>851</v>
      </c>
      <c r="B426" s="33" t="s">
        <v>852</v>
      </c>
      <c r="C426" s="5"/>
      <c r="D426" s="23"/>
      <c r="E426" s="23"/>
      <c r="F426" s="42"/>
      <c r="G426" s="42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</row>
    <row r="427">
      <c r="A427" s="13" t="s">
        <v>853</v>
      </c>
      <c r="B427" s="14" t="s">
        <v>854</v>
      </c>
      <c r="C427" s="5"/>
      <c r="D427" s="23"/>
      <c r="E427" s="23"/>
      <c r="F427" s="42"/>
      <c r="G427" s="42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</row>
    <row r="428">
      <c r="A428" s="25" t="s">
        <v>855</v>
      </c>
      <c r="B428" s="19" t="s">
        <v>856</v>
      </c>
      <c r="C428" s="5"/>
      <c r="D428" s="23"/>
      <c r="E428" s="23"/>
      <c r="F428" s="42"/>
      <c r="G428" s="42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</row>
    <row r="429">
      <c r="A429" s="13" t="s">
        <v>857</v>
      </c>
      <c r="B429" s="14" t="s">
        <v>858</v>
      </c>
      <c r="C429" s="5"/>
      <c r="D429" s="23"/>
      <c r="E429" s="23"/>
      <c r="F429" s="42"/>
      <c r="G429" s="42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</row>
    <row r="430">
      <c r="A430" s="18" t="s">
        <v>859</v>
      </c>
      <c r="B430" s="19" t="s">
        <v>860</v>
      </c>
      <c r="C430" s="5"/>
      <c r="D430" s="23"/>
      <c r="E430" s="23"/>
      <c r="F430" s="42"/>
      <c r="G430" s="42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</row>
    <row r="431">
      <c r="A431" s="13" t="s">
        <v>861</v>
      </c>
      <c r="B431" s="14" t="s">
        <v>862</v>
      </c>
      <c r="C431" s="5"/>
      <c r="D431" s="23"/>
      <c r="E431" s="23"/>
      <c r="F431" s="42"/>
      <c r="G431" s="42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</row>
    <row r="432">
      <c r="A432" s="18" t="s">
        <v>863</v>
      </c>
      <c r="B432" s="19" t="s">
        <v>864</v>
      </c>
      <c r="C432" s="5"/>
      <c r="D432" s="23"/>
      <c r="E432" s="23"/>
      <c r="F432" s="42"/>
      <c r="G432" s="42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</row>
    <row r="433">
      <c r="A433" s="13" t="s">
        <v>865</v>
      </c>
      <c r="B433" s="14" t="s">
        <v>866</v>
      </c>
      <c r="C433" s="5"/>
      <c r="D433" s="23"/>
      <c r="E433" s="23"/>
      <c r="F433" s="42"/>
      <c r="G433" s="42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</row>
    <row r="434">
      <c r="A434" s="18" t="s">
        <v>867</v>
      </c>
      <c r="B434" s="19" t="s">
        <v>868</v>
      </c>
      <c r="C434" s="5"/>
      <c r="D434" s="23"/>
      <c r="E434" s="23"/>
      <c r="F434" s="42"/>
      <c r="G434" s="42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</row>
    <row r="435">
      <c r="A435" s="13" t="s">
        <v>869</v>
      </c>
      <c r="B435" s="14" t="s">
        <v>870</v>
      </c>
      <c r="C435" s="5"/>
      <c r="D435" s="23"/>
      <c r="E435" s="23"/>
      <c r="F435" s="42"/>
      <c r="G435" s="42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</row>
    <row r="436">
      <c r="A436" s="18" t="s">
        <v>871</v>
      </c>
      <c r="B436" s="19" t="s">
        <v>872</v>
      </c>
      <c r="C436" s="5"/>
      <c r="D436" s="23"/>
      <c r="E436" s="23"/>
      <c r="F436" s="42"/>
      <c r="G436" s="42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</row>
    <row r="437">
      <c r="A437" s="13" t="s">
        <v>873</v>
      </c>
      <c r="B437" s="14" t="s">
        <v>874</v>
      </c>
      <c r="C437" s="5"/>
      <c r="D437" s="23"/>
      <c r="E437" s="23"/>
      <c r="F437" s="42"/>
      <c r="G437" s="42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</row>
    <row r="438">
      <c r="A438" s="18" t="s">
        <v>875</v>
      </c>
      <c r="B438" s="19" t="s">
        <v>876</v>
      </c>
      <c r="C438" s="5"/>
      <c r="D438" s="23"/>
      <c r="E438" s="23"/>
      <c r="F438" s="42"/>
      <c r="G438" s="42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</row>
    <row r="439">
      <c r="A439" s="22" t="s">
        <v>877</v>
      </c>
      <c r="B439" s="14" t="s">
        <v>878</v>
      </c>
      <c r="C439" s="43"/>
      <c r="D439" s="23"/>
      <c r="E439" s="23"/>
      <c r="F439" s="42"/>
      <c r="G439" s="42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</row>
    <row r="440">
      <c r="A440" s="25" t="s">
        <v>879</v>
      </c>
      <c r="B440" s="19" t="s">
        <v>880</v>
      </c>
      <c r="C440" s="5"/>
      <c r="D440" s="23"/>
      <c r="E440" s="23"/>
      <c r="F440" s="42"/>
      <c r="G440" s="42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</row>
    <row r="441">
      <c r="A441" s="22" t="s">
        <v>881</v>
      </c>
      <c r="B441" s="14" t="s">
        <v>882</v>
      </c>
      <c r="C441" s="5"/>
      <c r="D441" s="23"/>
      <c r="E441" s="23"/>
      <c r="F441" s="42"/>
      <c r="G441" s="42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</row>
    <row r="442">
      <c r="A442" s="25" t="s">
        <v>883</v>
      </c>
      <c r="B442" s="19" t="s">
        <v>884</v>
      </c>
      <c r="C442" s="5"/>
      <c r="D442" s="23"/>
      <c r="E442" s="23"/>
      <c r="F442" s="42"/>
      <c r="G442" s="42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</row>
    <row r="443">
      <c r="A443" s="13" t="s">
        <v>885</v>
      </c>
      <c r="B443" s="14" t="s">
        <v>886</v>
      </c>
      <c r="C443" s="5"/>
      <c r="D443" s="23"/>
      <c r="E443" s="23"/>
      <c r="F443" s="42"/>
      <c r="G443" s="42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</row>
    <row r="444">
      <c r="A444" s="18" t="s">
        <v>887</v>
      </c>
      <c r="B444" s="19" t="s">
        <v>888</v>
      </c>
      <c r="C444" s="5"/>
      <c r="D444" s="23"/>
      <c r="E444" s="23"/>
      <c r="F444" s="42"/>
      <c r="G444" s="42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</row>
    <row r="445">
      <c r="A445" s="13" t="s">
        <v>889</v>
      </c>
      <c r="B445" s="14" t="s">
        <v>890</v>
      </c>
      <c r="C445" s="5"/>
      <c r="D445" s="23"/>
      <c r="E445" s="23"/>
      <c r="F445" s="42"/>
      <c r="G445" s="42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</row>
    <row r="446">
      <c r="A446" s="25" t="s">
        <v>891</v>
      </c>
      <c r="B446" s="19" t="s">
        <v>892</v>
      </c>
      <c r="C446" s="5"/>
      <c r="D446" s="23"/>
      <c r="E446" s="23"/>
      <c r="F446" s="42"/>
      <c r="G446" s="42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</row>
    <row r="447">
      <c r="A447" s="13" t="s">
        <v>893</v>
      </c>
      <c r="B447" s="14" t="s">
        <v>894</v>
      </c>
      <c r="C447" s="5"/>
      <c r="D447" s="23"/>
      <c r="E447" s="23"/>
      <c r="F447" s="42"/>
      <c r="G447" s="42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</row>
    <row r="448">
      <c r="A448" s="25" t="s">
        <v>895</v>
      </c>
      <c r="B448" s="48" t="s">
        <v>896</v>
      </c>
      <c r="C448" s="5"/>
      <c r="D448" s="23"/>
      <c r="E448" s="23"/>
      <c r="F448" s="42"/>
      <c r="G448" s="42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</row>
    <row r="449">
      <c r="A449" s="13" t="s">
        <v>897</v>
      </c>
      <c r="B449" s="14" t="s">
        <v>898</v>
      </c>
      <c r="C449" s="5"/>
      <c r="D449" s="23"/>
      <c r="E449" s="23"/>
      <c r="F449" s="42"/>
      <c r="G449" s="42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</row>
    <row r="450">
      <c r="A450" s="18" t="s">
        <v>899</v>
      </c>
      <c r="B450" s="19" t="s">
        <v>900</v>
      </c>
      <c r="C450" s="5"/>
      <c r="D450" s="23"/>
      <c r="E450" s="23"/>
      <c r="F450" s="42"/>
      <c r="G450" s="42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</row>
    <row r="451">
      <c r="A451" s="44" t="s">
        <v>901</v>
      </c>
      <c r="B451" s="45" t="s">
        <v>902</v>
      </c>
      <c r="C451" s="5"/>
      <c r="D451" s="23"/>
      <c r="E451" s="23"/>
      <c r="F451" s="42"/>
      <c r="G451" s="42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</row>
    <row r="452">
      <c r="A452" s="9" t="s">
        <v>903</v>
      </c>
      <c r="B452" s="10" t="s">
        <v>904</v>
      </c>
      <c r="C452" s="5"/>
      <c r="D452" s="23"/>
      <c r="E452" s="23"/>
      <c r="F452" s="42"/>
      <c r="G452" s="42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</row>
    <row r="453">
      <c r="A453" s="44" t="s">
        <v>905</v>
      </c>
      <c r="B453" s="45" t="s">
        <v>906</v>
      </c>
      <c r="C453" s="5"/>
      <c r="D453" s="23"/>
      <c r="E453" s="23"/>
      <c r="F453" s="42"/>
      <c r="G453" s="42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</row>
    <row r="454">
      <c r="A454" s="18" t="s">
        <v>907</v>
      </c>
      <c r="B454" s="19" t="s">
        <v>908</v>
      </c>
      <c r="C454" s="5"/>
      <c r="D454" s="23"/>
      <c r="E454" s="23"/>
      <c r="F454" s="42"/>
      <c r="G454" s="42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</row>
    <row r="455">
      <c r="A455" s="13" t="s">
        <v>909</v>
      </c>
      <c r="B455" s="14" t="s">
        <v>910</v>
      </c>
      <c r="C455" s="5"/>
      <c r="D455" s="23"/>
      <c r="E455" s="23"/>
      <c r="F455" s="42"/>
      <c r="G455" s="42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</row>
    <row r="456">
      <c r="A456" s="18" t="s">
        <v>911</v>
      </c>
      <c r="B456" s="33" t="s">
        <v>912</v>
      </c>
      <c r="C456" s="5"/>
      <c r="D456" s="23"/>
      <c r="E456" s="23"/>
      <c r="F456" s="42"/>
      <c r="G456" s="42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</row>
    <row r="457">
      <c r="A457" s="22" t="s">
        <v>913</v>
      </c>
      <c r="B457" s="14" t="s">
        <v>914</v>
      </c>
      <c r="C457" s="5"/>
      <c r="D457" s="23"/>
      <c r="E457" s="23"/>
      <c r="F457" s="42"/>
      <c r="G457" s="42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</row>
    <row r="458">
      <c r="A458" s="25" t="s">
        <v>915</v>
      </c>
      <c r="B458" s="19" t="s">
        <v>916</v>
      </c>
      <c r="C458" s="5"/>
      <c r="D458" s="23"/>
      <c r="E458" s="23"/>
      <c r="F458" s="42"/>
      <c r="G458" s="42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</row>
    <row r="459">
      <c r="A459" s="22" t="s">
        <v>917</v>
      </c>
      <c r="B459" s="14" t="s">
        <v>918</v>
      </c>
      <c r="C459" s="5"/>
      <c r="D459" s="23"/>
      <c r="E459" s="23"/>
      <c r="F459" s="42"/>
      <c r="G459" s="42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</row>
    <row r="460">
      <c r="A460" s="18" t="s">
        <v>919</v>
      </c>
      <c r="B460" s="19" t="s">
        <v>920</v>
      </c>
      <c r="C460" s="5"/>
      <c r="D460" s="23"/>
      <c r="E460" s="23"/>
      <c r="F460" s="42"/>
      <c r="G460" s="42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</row>
    <row r="461">
      <c r="A461" s="13" t="s">
        <v>921</v>
      </c>
      <c r="B461" s="14" t="s">
        <v>922</v>
      </c>
      <c r="C461" s="5"/>
      <c r="D461" s="23"/>
      <c r="E461" s="23"/>
      <c r="F461" s="42"/>
      <c r="G461" s="42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</row>
    <row r="462">
      <c r="A462" s="18" t="s">
        <v>923</v>
      </c>
      <c r="B462" s="19" t="s">
        <v>924</v>
      </c>
      <c r="C462" s="5"/>
      <c r="D462" s="23"/>
      <c r="E462" s="23"/>
      <c r="F462" s="42"/>
      <c r="G462" s="42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</row>
    <row r="463">
      <c r="A463" s="13" t="s">
        <v>925</v>
      </c>
      <c r="B463" s="14" t="s">
        <v>926</v>
      </c>
      <c r="C463" s="5"/>
      <c r="D463" s="23"/>
      <c r="E463" s="23"/>
      <c r="F463" s="42"/>
      <c r="G463" s="42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</row>
    <row r="464">
      <c r="A464" s="18" t="s">
        <v>927</v>
      </c>
      <c r="B464" s="19" t="s">
        <v>928</v>
      </c>
      <c r="C464" s="5"/>
      <c r="D464" s="23"/>
      <c r="E464" s="23"/>
      <c r="F464" s="42"/>
      <c r="G464" s="42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</row>
    <row r="465">
      <c r="A465" s="13" t="s">
        <v>929</v>
      </c>
      <c r="B465" s="14" t="s">
        <v>930</v>
      </c>
      <c r="C465" s="5"/>
      <c r="D465" s="23"/>
      <c r="E465" s="23"/>
      <c r="F465" s="42"/>
      <c r="G465" s="42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</row>
    <row r="466">
      <c r="A466" s="9" t="s">
        <v>931</v>
      </c>
      <c r="B466" s="10" t="s">
        <v>932</v>
      </c>
      <c r="C466" s="5"/>
      <c r="D466" s="23"/>
      <c r="E466" s="23"/>
      <c r="F466" s="42"/>
      <c r="G466" s="42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</row>
    <row r="467">
      <c r="A467" s="13" t="s">
        <v>933</v>
      </c>
      <c r="B467" s="14" t="s">
        <v>934</v>
      </c>
      <c r="C467" s="5"/>
      <c r="D467" s="23"/>
      <c r="E467" s="23"/>
      <c r="F467" s="42"/>
      <c r="G467" s="42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</row>
    <row r="468">
      <c r="A468" s="18" t="s">
        <v>935</v>
      </c>
      <c r="B468" s="19" t="s">
        <v>936</v>
      </c>
      <c r="C468" s="5"/>
      <c r="D468" s="23"/>
      <c r="E468" s="23"/>
      <c r="F468" s="42"/>
      <c r="G468" s="42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</row>
    <row r="469">
      <c r="A469" s="22" t="s">
        <v>937</v>
      </c>
      <c r="B469" s="14" t="s">
        <v>938</v>
      </c>
      <c r="C469" s="5"/>
      <c r="D469" s="23"/>
      <c r="E469" s="23"/>
      <c r="F469" s="42"/>
      <c r="G469" s="42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</row>
    <row r="470">
      <c r="A470" s="18" t="s">
        <v>939</v>
      </c>
      <c r="B470" s="19" t="s">
        <v>940</v>
      </c>
      <c r="C470" s="5"/>
      <c r="D470" s="23"/>
      <c r="E470" s="23"/>
      <c r="F470" s="42"/>
      <c r="G470" s="42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</row>
    <row r="471">
      <c r="A471" s="13" t="s">
        <v>941</v>
      </c>
      <c r="B471" s="14" t="s">
        <v>942</v>
      </c>
      <c r="C471" s="5"/>
      <c r="D471" s="23"/>
      <c r="E471" s="23"/>
      <c r="F471" s="42"/>
      <c r="G471" s="42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</row>
    <row r="472">
      <c r="A472" s="18" t="s">
        <v>943</v>
      </c>
      <c r="B472" s="19" t="s">
        <v>944</v>
      </c>
      <c r="C472" s="5"/>
      <c r="D472" s="23"/>
      <c r="E472" s="23"/>
      <c r="F472" s="42"/>
      <c r="G472" s="42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</row>
    <row r="473">
      <c r="A473" s="13" t="s">
        <v>945</v>
      </c>
      <c r="B473" s="14" t="s">
        <v>946</v>
      </c>
      <c r="C473" s="5"/>
      <c r="D473" s="23"/>
      <c r="E473" s="23"/>
      <c r="F473" s="42"/>
      <c r="G473" s="42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</row>
    <row r="474">
      <c r="A474" s="25" t="s">
        <v>947</v>
      </c>
      <c r="B474" s="19" t="s">
        <v>948</v>
      </c>
      <c r="C474" s="43"/>
      <c r="D474" s="23"/>
      <c r="E474" s="23"/>
      <c r="F474" s="42"/>
      <c r="G474" s="42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</row>
    <row r="475">
      <c r="A475" s="13" t="s">
        <v>949</v>
      </c>
      <c r="B475" s="14" t="s">
        <v>950</v>
      </c>
      <c r="C475" s="5"/>
      <c r="D475" s="23"/>
      <c r="E475" s="23"/>
      <c r="F475" s="42"/>
      <c r="G475" s="42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</row>
    <row r="476">
      <c r="A476" s="18" t="s">
        <v>951</v>
      </c>
      <c r="B476" s="19" t="s">
        <v>952</v>
      </c>
      <c r="C476" s="5"/>
      <c r="D476" s="23"/>
      <c r="E476" s="23"/>
      <c r="F476" s="42"/>
      <c r="G476" s="42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</row>
    <row r="477">
      <c r="A477" s="13" t="s">
        <v>953</v>
      </c>
      <c r="B477" s="26" t="s">
        <v>954</v>
      </c>
      <c r="C477" s="5"/>
      <c r="D477" s="23"/>
      <c r="E477" s="23"/>
      <c r="F477" s="42"/>
      <c r="G477" s="42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</row>
    <row r="478">
      <c r="A478" s="18" t="s">
        <v>955</v>
      </c>
      <c r="B478" s="19" t="s">
        <v>956</v>
      </c>
      <c r="C478" s="5"/>
      <c r="D478" s="23"/>
      <c r="E478" s="23"/>
      <c r="F478" s="42"/>
      <c r="G478" s="42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</row>
    <row r="479">
      <c r="A479" s="13" t="s">
        <v>957</v>
      </c>
      <c r="B479" s="14" t="s">
        <v>958</v>
      </c>
      <c r="C479" s="5"/>
      <c r="D479" s="23"/>
      <c r="E479" s="23"/>
      <c r="F479" s="42"/>
      <c r="G479" s="42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</row>
    <row r="480">
      <c r="A480" s="9" t="s">
        <v>959</v>
      </c>
      <c r="B480" s="10" t="s">
        <v>960</v>
      </c>
      <c r="C480" s="5"/>
      <c r="D480" s="23"/>
      <c r="E480" s="23"/>
      <c r="F480" s="42"/>
      <c r="G480" s="42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</row>
    <row r="481">
      <c r="A481" s="22" t="s">
        <v>961</v>
      </c>
      <c r="B481" s="14" t="s">
        <v>962</v>
      </c>
      <c r="C481" s="5"/>
      <c r="D481" s="23"/>
      <c r="E481" s="23"/>
      <c r="F481" s="42"/>
      <c r="G481" s="42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</row>
    <row r="482">
      <c r="A482" s="9" t="s">
        <v>963</v>
      </c>
      <c r="B482" s="10" t="s">
        <v>964</v>
      </c>
      <c r="C482" s="5"/>
      <c r="D482" s="23"/>
      <c r="E482" s="23"/>
      <c r="F482" s="42"/>
      <c r="G482" s="42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</row>
    <row r="483">
      <c r="A483" s="13" t="s">
        <v>965</v>
      </c>
      <c r="B483" s="26" t="s">
        <v>966</v>
      </c>
      <c r="C483" s="5"/>
      <c r="D483" s="23"/>
      <c r="E483" s="23"/>
      <c r="F483" s="42"/>
      <c r="G483" s="42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</row>
    <row r="484">
      <c r="A484" s="18" t="s">
        <v>967</v>
      </c>
      <c r="B484" s="19" t="s">
        <v>968</v>
      </c>
      <c r="C484" s="5"/>
      <c r="D484" s="23"/>
      <c r="E484" s="23"/>
      <c r="F484" s="42"/>
      <c r="G484" s="42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</row>
    <row r="485">
      <c r="A485" s="13" t="s">
        <v>969</v>
      </c>
      <c r="B485" s="14" t="s">
        <v>970</v>
      </c>
      <c r="C485" s="5"/>
      <c r="D485" s="23"/>
      <c r="E485" s="23"/>
      <c r="F485" s="42"/>
      <c r="G485" s="42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</row>
    <row r="486">
      <c r="A486" s="18" t="s">
        <v>971</v>
      </c>
      <c r="B486" s="19" t="s">
        <v>972</v>
      </c>
      <c r="C486" s="5"/>
      <c r="D486" s="23"/>
      <c r="E486" s="23"/>
      <c r="F486" s="42"/>
      <c r="G486" s="42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</row>
    <row r="487">
      <c r="A487" s="13" t="s">
        <v>973</v>
      </c>
      <c r="B487" s="14" t="s">
        <v>974</v>
      </c>
      <c r="C487" s="5"/>
      <c r="D487" s="23"/>
      <c r="E487" s="23"/>
      <c r="F487" s="42"/>
      <c r="G487" s="42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</row>
    <row r="488">
      <c r="A488" s="18" t="s">
        <v>975</v>
      </c>
      <c r="B488" s="19" t="s">
        <v>976</v>
      </c>
      <c r="C488" s="5"/>
      <c r="D488" s="23"/>
      <c r="E488" s="23"/>
      <c r="F488" s="42"/>
      <c r="G488" s="42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</row>
    <row r="489">
      <c r="A489" s="13" t="s">
        <v>977</v>
      </c>
      <c r="B489" s="14" t="s">
        <v>978</v>
      </c>
      <c r="C489" s="5"/>
      <c r="D489" s="23"/>
      <c r="E489" s="23"/>
      <c r="F489" s="42"/>
      <c r="G489" s="42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</row>
    <row r="490">
      <c r="A490" s="25" t="s">
        <v>979</v>
      </c>
      <c r="B490" s="19" t="s">
        <v>980</v>
      </c>
      <c r="C490" s="5"/>
      <c r="D490" s="23"/>
      <c r="E490" s="23"/>
      <c r="F490" s="42"/>
      <c r="G490" s="42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</row>
    <row r="491">
      <c r="A491" s="22" t="s">
        <v>981</v>
      </c>
      <c r="B491" s="14" t="s">
        <v>982</v>
      </c>
      <c r="C491" s="5"/>
      <c r="D491" s="23"/>
      <c r="E491" s="23"/>
      <c r="F491" s="42"/>
      <c r="G491" s="42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</row>
    <row r="492">
      <c r="A492" s="18" t="s">
        <v>983</v>
      </c>
      <c r="B492" s="19" t="s">
        <v>984</v>
      </c>
      <c r="C492" s="5"/>
      <c r="D492" s="23"/>
      <c r="E492" s="23"/>
      <c r="F492" s="42"/>
      <c r="G492" s="42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</row>
    <row r="493">
      <c r="A493" s="13" t="s">
        <v>985</v>
      </c>
      <c r="B493" s="14" t="s">
        <v>986</v>
      </c>
      <c r="C493" s="5"/>
      <c r="D493" s="23"/>
      <c r="E493" s="23"/>
      <c r="F493" s="42"/>
      <c r="G493" s="42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</row>
    <row r="494">
      <c r="A494" s="18" t="s">
        <v>987</v>
      </c>
      <c r="B494" s="19" t="s">
        <v>988</v>
      </c>
      <c r="C494" s="5"/>
      <c r="D494" s="23"/>
      <c r="E494" s="23"/>
      <c r="F494" s="42"/>
      <c r="G494" s="42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</row>
    <row r="495">
      <c r="A495" s="28" t="s">
        <v>989</v>
      </c>
      <c r="B495" s="14" t="s">
        <v>990</v>
      </c>
      <c r="C495" s="5"/>
      <c r="D495" s="23"/>
      <c r="E495" s="23"/>
      <c r="F495" s="42"/>
      <c r="G495" s="42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</row>
    <row r="496">
      <c r="A496" s="18" t="s">
        <v>991</v>
      </c>
      <c r="B496" s="19" t="s">
        <v>992</v>
      </c>
      <c r="C496" s="5"/>
      <c r="D496" s="23"/>
      <c r="E496" s="23"/>
      <c r="F496" s="42"/>
      <c r="G496" s="42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</row>
    <row r="497">
      <c r="A497" s="13" t="s">
        <v>993</v>
      </c>
      <c r="B497" s="14" t="s">
        <v>994</v>
      </c>
      <c r="C497" s="5"/>
      <c r="D497" s="23"/>
      <c r="E497" s="23"/>
      <c r="F497" s="42"/>
      <c r="G497" s="42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</row>
    <row r="498">
      <c r="A498" s="49" t="s">
        <v>995</v>
      </c>
      <c r="B498" s="50" t="s">
        <v>996</v>
      </c>
      <c r="C498" s="5"/>
      <c r="D498" s="23"/>
      <c r="E498" s="23"/>
      <c r="F498" s="42"/>
      <c r="G498" s="42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</row>
    <row r="499">
      <c r="A499" s="13" t="s">
        <v>997</v>
      </c>
      <c r="B499" s="14" t="s">
        <v>998</v>
      </c>
      <c r="C499" s="5"/>
      <c r="D499" s="23"/>
      <c r="E499" s="23"/>
      <c r="F499" s="42"/>
      <c r="G499" s="42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</row>
    <row r="500">
      <c r="A500" s="25" t="s">
        <v>999</v>
      </c>
      <c r="B500" s="19" t="s">
        <v>1000</v>
      </c>
      <c r="C500" s="5"/>
      <c r="D500" s="23"/>
      <c r="E500" s="23"/>
      <c r="F500" s="42"/>
      <c r="G500" s="42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</row>
    <row r="501">
      <c r="A501" s="13" t="s">
        <v>1001</v>
      </c>
      <c r="B501" s="14" t="s">
        <v>1002</v>
      </c>
      <c r="C501" s="5"/>
      <c r="D501" s="23"/>
      <c r="E501" s="23"/>
      <c r="F501" s="42"/>
      <c r="G501" s="42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</row>
    <row r="502">
      <c r="A502" s="25" t="s">
        <v>1003</v>
      </c>
      <c r="B502" s="19" t="s">
        <v>1004</v>
      </c>
      <c r="C502" s="5"/>
      <c r="D502" s="23"/>
      <c r="E502" s="23"/>
      <c r="F502" s="42"/>
      <c r="G502" s="42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</row>
    <row r="503">
      <c r="A503" s="22" t="s">
        <v>1005</v>
      </c>
      <c r="B503" s="14" t="s">
        <v>1006</v>
      </c>
      <c r="C503" s="5"/>
      <c r="D503" s="23"/>
      <c r="E503" s="23"/>
      <c r="F503" s="42"/>
      <c r="G503" s="42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</row>
    <row r="504">
      <c r="A504" s="18" t="s">
        <v>1007</v>
      </c>
      <c r="B504" s="33" t="s">
        <v>1008</v>
      </c>
      <c r="C504" s="43"/>
      <c r="D504" s="23"/>
      <c r="E504" s="23"/>
      <c r="F504" s="42"/>
      <c r="G504" s="42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</row>
    <row r="505">
      <c r="A505" s="44" t="s">
        <v>1009</v>
      </c>
      <c r="B505" s="45" t="s">
        <v>1010</v>
      </c>
      <c r="C505" s="5"/>
      <c r="D505" s="23"/>
      <c r="E505" s="23"/>
      <c r="F505" s="42"/>
      <c r="G505" s="42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</row>
    <row r="506">
      <c r="A506" s="25" t="s">
        <v>1011</v>
      </c>
      <c r="B506" s="19" t="s">
        <v>1012</v>
      </c>
      <c r="C506" s="5"/>
      <c r="D506" s="23"/>
      <c r="E506" s="23"/>
      <c r="F506" s="42"/>
      <c r="G506" s="42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</row>
    <row r="507">
      <c r="A507" s="22" t="s">
        <v>1013</v>
      </c>
      <c r="B507" s="14" t="s">
        <v>1014</v>
      </c>
      <c r="C507" s="5"/>
      <c r="D507" s="23"/>
      <c r="E507" s="23"/>
      <c r="F507" s="42"/>
      <c r="G507" s="42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</row>
    <row r="508">
      <c r="A508" s="18" t="s">
        <v>1015</v>
      </c>
      <c r="B508" s="19" t="s">
        <v>1016</v>
      </c>
      <c r="C508" s="5"/>
      <c r="D508" s="23"/>
      <c r="E508" s="23"/>
      <c r="F508" s="42"/>
      <c r="G508" s="42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</row>
    <row r="509">
      <c r="A509" s="22" t="s">
        <v>1017</v>
      </c>
      <c r="B509" s="14" t="s">
        <v>1018</v>
      </c>
      <c r="C509" s="5"/>
      <c r="D509" s="23"/>
      <c r="E509" s="23"/>
      <c r="F509" s="42"/>
      <c r="G509" s="42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</row>
    <row r="510">
      <c r="A510" s="18" t="s">
        <v>1019</v>
      </c>
      <c r="B510" s="19" t="s">
        <v>1020</v>
      </c>
      <c r="C510" s="5"/>
      <c r="D510" s="23"/>
      <c r="E510" s="23"/>
      <c r="F510" s="42"/>
      <c r="G510" s="42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</row>
    <row r="511">
      <c r="A511" s="13" t="s">
        <v>1021</v>
      </c>
      <c r="B511" s="14" t="s">
        <v>1022</v>
      </c>
      <c r="C511" s="5"/>
      <c r="D511" s="23"/>
      <c r="E511" s="23"/>
      <c r="F511" s="42"/>
      <c r="G511" s="42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</row>
    <row r="512">
      <c r="A512" s="25" t="s">
        <v>1023</v>
      </c>
      <c r="B512" s="19" t="s">
        <v>1024</v>
      </c>
      <c r="C512" s="5"/>
      <c r="D512" s="23"/>
      <c r="E512" s="23"/>
      <c r="F512" s="42"/>
      <c r="G512" s="42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</row>
    <row r="513">
      <c r="A513" s="22" t="s">
        <v>1025</v>
      </c>
      <c r="B513" s="14" t="s">
        <v>1026</v>
      </c>
      <c r="C513" s="5"/>
      <c r="D513" s="23"/>
      <c r="E513" s="23"/>
      <c r="F513" s="42"/>
      <c r="G513" s="42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</row>
    <row r="514">
      <c r="A514" s="18" t="s">
        <v>1027</v>
      </c>
      <c r="B514" s="19" t="s">
        <v>1028</v>
      </c>
      <c r="C514" s="5"/>
      <c r="D514" s="23"/>
      <c r="E514" s="23"/>
      <c r="F514" s="42"/>
      <c r="G514" s="42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</row>
    <row r="515">
      <c r="A515" s="22" t="s">
        <v>1029</v>
      </c>
      <c r="B515" s="14" t="s">
        <v>1030</v>
      </c>
      <c r="C515" s="5"/>
      <c r="D515" s="23"/>
      <c r="E515" s="23"/>
      <c r="F515" s="42"/>
      <c r="G515" s="42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</row>
    <row r="516">
      <c r="A516" s="25" t="s">
        <v>1031</v>
      </c>
      <c r="B516" s="19" t="s">
        <v>1032</v>
      </c>
      <c r="C516" s="5"/>
      <c r="D516" s="23"/>
      <c r="E516" s="23"/>
      <c r="F516" s="42"/>
      <c r="G516" s="42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</row>
    <row r="517">
      <c r="A517" s="22" t="s">
        <v>1033</v>
      </c>
      <c r="B517" s="14" t="s">
        <v>1034</v>
      </c>
      <c r="C517" s="5"/>
      <c r="D517" s="23"/>
      <c r="E517" s="23"/>
      <c r="F517" s="42"/>
      <c r="G517" s="42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</row>
    <row r="518">
      <c r="A518" s="18" t="s">
        <v>1035</v>
      </c>
      <c r="B518" s="19" t="s">
        <v>1036</v>
      </c>
      <c r="C518" s="5"/>
      <c r="D518" s="23"/>
      <c r="E518" s="23"/>
      <c r="F518" s="42"/>
      <c r="G518" s="42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</row>
    <row r="519">
      <c r="A519" s="22" t="s">
        <v>1037</v>
      </c>
      <c r="B519" s="14" t="s">
        <v>1038</v>
      </c>
      <c r="C519" s="5"/>
      <c r="D519" s="23"/>
      <c r="E519" s="23"/>
      <c r="F519" s="42"/>
      <c r="G519" s="42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</row>
    <row r="520">
      <c r="A520" s="25" t="s">
        <v>1039</v>
      </c>
      <c r="B520" s="19" t="s">
        <v>1040</v>
      </c>
      <c r="C520" s="5"/>
      <c r="D520" s="23"/>
      <c r="E520" s="23"/>
      <c r="F520" s="42"/>
      <c r="G520" s="42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</row>
    <row r="521">
      <c r="A521" s="22" t="s">
        <v>1041</v>
      </c>
      <c r="B521" s="14" t="s">
        <v>1042</v>
      </c>
      <c r="C521" s="5"/>
      <c r="D521" s="23"/>
      <c r="E521" s="23"/>
      <c r="F521" s="42"/>
      <c r="G521" s="42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</row>
    <row r="522">
      <c r="A522" s="25" t="s">
        <v>1043</v>
      </c>
      <c r="B522" s="19" t="s">
        <v>1044</v>
      </c>
      <c r="C522" s="5"/>
      <c r="D522" s="23"/>
      <c r="E522" s="23"/>
      <c r="F522" s="42"/>
      <c r="G522" s="42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</row>
    <row r="523">
      <c r="A523" s="22" t="s">
        <v>1045</v>
      </c>
      <c r="B523" s="14" t="s">
        <v>1046</v>
      </c>
      <c r="C523" s="5"/>
      <c r="D523" s="23"/>
      <c r="E523" s="23"/>
      <c r="F523" s="42"/>
      <c r="G523" s="42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</row>
    <row r="524">
      <c r="A524" s="18" t="s">
        <v>1047</v>
      </c>
      <c r="B524" s="19" t="s">
        <v>1048</v>
      </c>
      <c r="C524" s="5"/>
      <c r="D524" s="23"/>
      <c r="E524" s="23"/>
      <c r="F524" s="42"/>
      <c r="G524" s="42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</row>
    <row r="525">
      <c r="A525" s="22" t="s">
        <v>1049</v>
      </c>
      <c r="B525" s="14" t="s">
        <v>1050</v>
      </c>
      <c r="C525" s="5"/>
      <c r="D525" s="23"/>
      <c r="E525" s="23"/>
      <c r="F525" s="42"/>
      <c r="G525" s="42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</row>
    <row r="526">
      <c r="A526" s="25" t="s">
        <v>1051</v>
      </c>
      <c r="B526" s="19" t="s">
        <v>1052</v>
      </c>
      <c r="C526" s="5"/>
      <c r="D526" s="23"/>
      <c r="E526" s="23"/>
      <c r="F526" s="42"/>
      <c r="G526" s="42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</row>
    <row r="527">
      <c r="A527" s="13" t="s">
        <v>1053</v>
      </c>
      <c r="B527" s="14" t="s">
        <v>1054</v>
      </c>
      <c r="C527" s="5"/>
      <c r="D527" s="23"/>
      <c r="E527" s="23"/>
      <c r="F527" s="42"/>
      <c r="G527" s="42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</row>
    <row r="528">
      <c r="A528" s="9" t="s">
        <v>1055</v>
      </c>
      <c r="B528" s="10" t="s">
        <v>1056</v>
      </c>
      <c r="C528" s="5"/>
      <c r="D528" s="23"/>
      <c r="E528" s="23"/>
      <c r="F528" s="42"/>
      <c r="G528" s="42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</row>
    <row r="529">
      <c r="A529" s="22" t="s">
        <v>1057</v>
      </c>
      <c r="B529" s="14" t="s">
        <v>1058</v>
      </c>
      <c r="C529" s="5"/>
      <c r="D529" s="23"/>
      <c r="E529" s="23"/>
      <c r="F529" s="42"/>
      <c r="G529" s="42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</row>
    <row r="530">
      <c r="A530" s="25" t="s">
        <v>1059</v>
      </c>
      <c r="B530" s="19" t="s">
        <v>1060</v>
      </c>
      <c r="C530" s="5"/>
      <c r="D530" s="23"/>
      <c r="E530" s="23"/>
      <c r="F530" s="42"/>
      <c r="G530" s="42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</row>
    <row r="531">
      <c r="A531" s="13" t="s">
        <v>1061</v>
      </c>
      <c r="B531" s="26" t="s">
        <v>1062</v>
      </c>
      <c r="C531" s="5"/>
      <c r="D531" s="23"/>
      <c r="E531" s="23"/>
      <c r="F531" s="42"/>
      <c r="G531" s="42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</row>
    <row r="532">
      <c r="A532" s="18" t="s">
        <v>1063</v>
      </c>
      <c r="B532" s="19" t="s">
        <v>1064</v>
      </c>
      <c r="C532" s="5"/>
      <c r="D532" s="23"/>
      <c r="E532" s="23"/>
      <c r="F532" s="42"/>
      <c r="G532" s="42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</row>
    <row r="533">
      <c r="A533" s="13" t="s">
        <v>1065</v>
      </c>
      <c r="B533" s="14" t="s">
        <v>1066</v>
      </c>
      <c r="C533" s="5"/>
      <c r="D533" s="23"/>
      <c r="E533" s="23"/>
      <c r="F533" s="42"/>
      <c r="G533" s="42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</row>
    <row r="534">
      <c r="A534" s="25" t="s">
        <v>1067</v>
      </c>
      <c r="B534" s="19" t="s">
        <v>1068</v>
      </c>
      <c r="C534" s="5"/>
      <c r="D534" s="23"/>
      <c r="E534" s="23"/>
      <c r="F534" s="42"/>
      <c r="G534" s="42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</row>
    <row r="535">
      <c r="A535" s="13" t="s">
        <v>1069</v>
      </c>
      <c r="B535" s="14" t="s">
        <v>1070</v>
      </c>
      <c r="C535" s="5"/>
      <c r="D535" s="23"/>
      <c r="E535" s="23"/>
      <c r="F535" s="42"/>
      <c r="G535" s="42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</row>
    <row r="536">
      <c r="A536" s="18" t="s">
        <v>1071</v>
      </c>
      <c r="B536" s="19" t="s">
        <v>1072</v>
      </c>
      <c r="C536" s="5"/>
      <c r="D536" s="23"/>
      <c r="E536" s="23"/>
      <c r="F536" s="42"/>
      <c r="G536" s="42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</row>
    <row r="537">
      <c r="A537" s="22" t="s">
        <v>1073</v>
      </c>
      <c r="B537" s="51" t="s">
        <v>1074</v>
      </c>
      <c r="C537" s="5"/>
      <c r="D537" s="23"/>
      <c r="E537" s="23"/>
      <c r="F537" s="42"/>
      <c r="G537" s="42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</row>
    <row r="538">
      <c r="A538" s="18" t="s">
        <v>1075</v>
      </c>
      <c r="B538" s="19" t="s">
        <v>1076</v>
      </c>
      <c r="C538" s="5"/>
      <c r="D538" s="23"/>
      <c r="E538" s="23"/>
      <c r="F538" s="42"/>
      <c r="G538" s="42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</row>
    <row r="539">
      <c r="A539" s="22" t="s">
        <v>1077</v>
      </c>
      <c r="B539" s="14" t="s">
        <v>1078</v>
      </c>
      <c r="C539" s="5"/>
      <c r="D539" s="23"/>
      <c r="E539" s="23"/>
      <c r="F539" s="42"/>
      <c r="G539" s="42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</row>
    <row r="540">
      <c r="A540" s="18" t="s">
        <v>1079</v>
      </c>
      <c r="B540" s="19" t="s">
        <v>1080</v>
      </c>
      <c r="C540" s="5"/>
      <c r="D540" s="23"/>
      <c r="E540" s="23"/>
      <c r="F540" s="42"/>
      <c r="G540" s="42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</row>
    <row r="541">
      <c r="A541" s="13" t="s">
        <v>1081</v>
      </c>
      <c r="B541" s="14" t="s">
        <v>1082</v>
      </c>
      <c r="C541" s="5"/>
      <c r="D541" s="23"/>
      <c r="E541" s="23"/>
      <c r="F541" s="42"/>
      <c r="G541" s="42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</row>
    <row r="542">
      <c r="A542" s="18" t="s">
        <v>1083</v>
      </c>
      <c r="B542" s="33" t="s">
        <v>1084</v>
      </c>
      <c r="C542" s="5"/>
      <c r="D542" s="23"/>
      <c r="E542" s="23"/>
      <c r="F542" s="42"/>
      <c r="G542" s="42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</row>
    <row r="543">
      <c r="A543" s="13" t="s">
        <v>1085</v>
      </c>
      <c r="B543" s="14" t="s">
        <v>1086</v>
      </c>
      <c r="C543" s="5"/>
      <c r="D543" s="23"/>
      <c r="E543" s="23"/>
      <c r="F543" s="42"/>
      <c r="G543" s="42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</row>
    <row r="544">
      <c r="A544" s="25" t="s">
        <v>1087</v>
      </c>
      <c r="B544" s="19" t="s">
        <v>1088</v>
      </c>
      <c r="C544" s="5"/>
      <c r="D544" s="23"/>
      <c r="E544" s="23"/>
      <c r="F544" s="42"/>
      <c r="G544" s="42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</row>
    <row r="545">
      <c r="A545" s="44" t="s">
        <v>1089</v>
      </c>
      <c r="B545" s="45" t="s">
        <v>1090</v>
      </c>
      <c r="C545" s="5"/>
      <c r="D545" s="23"/>
      <c r="E545" s="23"/>
      <c r="F545" s="42"/>
      <c r="G545" s="42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</row>
    <row r="546">
      <c r="A546" s="25" t="s">
        <v>1091</v>
      </c>
      <c r="B546" s="19" t="s">
        <v>1092</v>
      </c>
      <c r="C546" s="5"/>
      <c r="D546" s="23"/>
      <c r="E546" s="23"/>
      <c r="F546" s="42"/>
      <c r="G546" s="42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</row>
    <row r="547">
      <c r="A547" s="13" t="s">
        <v>1093</v>
      </c>
      <c r="B547" s="14" t="s">
        <v>1094</v>
      </c>
      <c r="C547" s="5"/>
      <c r="D547" s="23"/>
      <c r="E547" s="23"/>
      <c r="F547" s="42"/>
      <c r="G547" s="42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</row>
    <row r="548">
      <c r="A548" s="18" t="s">
        <v>1095</v>
      </c>
      <c r="B548" s="33" t="s">
        <v>1096</v>
      </c>
      <c r="C548" s="5"/>
      <c r="D548" s="23"/>
      <c r="E548" s="23"/>
      <c r="F548" s="42"/>
      <c r="G548" s="42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</row>
    <row r="549">
      <c r="A549" s="13" t="s">
        <v>1097</v>
      </c>
      <c r="B549" s="14" t="s">
        <v>1098</v>
      </c>
      <c r="C549" s="5"/>
      <c r="D549" s="23"/>
      <c r="E549" s="23"/>
      <c r="F549" s="42"/>
      <c r="G549" s="42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</row>
    <row r="550">
      <c r="A550" s="18" t="s">
        <v>1099</v>
      </c>
      <c r="B550" s="19" t="s">
        <v>1100</v>
      </c>
      <c r="C550" s="5"/>
      <c r="D550" s="23"/>
      <c r="E550" s="23"/>
      <c r="F550" s="42"/>
      <c r="G550" s="42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</row>
    <row r="551">
      <c r="A551" s="22" t="s">
        <v>1101</v>
      </c>
      <c r="B551" s="14" t="s">
        <v>1102</v>
      </c>
      <c r="C551" s="5"/>
      <c r="D551" s="23"/>
      <c r="E551" s="23"/>
      <c r="F551" s="42"/>
      <c r="G551" s="42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</row>
    <row r="552">
      <c r="A552" s="18" t="s">
        <v>1103</v>
      </c>
      <c r="B552" s="19" t="s">
        <v>1104</v>
      </c>
      <c r="C552" s="5"/>
      <c r="D552" s="23"/>
      <c r="E552" s="23"/>
      <c r="F552" s="42"/>
      <c r="G552" s="42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</row>
    <row r="553">
      <c r="A553" s="22" t="s">
        <v>1105</v>
      </c>
      <c r="B553" s="14" t="s">
        <v>1106</v>
      </c>
      <c r="C553" s="5"/>
      <c r="D553" s="23"/>
      <c r="E553" s="23"/>
      <c r="F553" s="42"/>
      <c r="G553" s="42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</row>
    <row r="554">
      <c r="A554" s="25" t="s">
        <v>1107</v>
      </c>
      <c r="B554" s="19" t="s">
        <v>1108</v>
      </c>
      <c r="C554" s="5"/>
      <c r="D554" s="23"/>
      <c r="E554" s="23"/>
      <c r="F554" s="42"/>
      <c r="G554" s="42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</row>
    <row r="555">
      <c r="A555" s="52" t="s">
        <v>1109</v>
      </c>
      <c r="B555" s="53" t="s">
        <v>1110</v>
      </c>
      <c r="C555" s="5"/>
      <c r="D555" s="23"/>
      <c r="E555" s="23"/>
      <c r="F555" s="42"/>
      <c r="G555" s="42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</row>
    <row r="556">
      <c r="A556" s="25" t="s">
        <v>1111</v>
      </c>
      <c r="B556" s="19" t="s">
        <v>1112</v>
      </c>
      <c r="C556" s="5"/>
      <c r="D556" s="23"/>
      <c r="E556" s="23"/>
      <c r="F556" s="42"/>
      <c r="G556" s="42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</row>
    <row r="557">
      <c r="A557" s="13" t="s">
        <v>1113</v>
      </c>
      <c r="B557" s="14" t="s">
        <v>1114</v>
      </c>
      <c r="C557" s="5"/>
      <c r="D557" s="23"/>
      <c r="E557" s="23"/>
      <c r="F557" s="42"/>
      <c r="G557" s="42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</row>
    <row r="558">
      <c r="A558" s="18" t="s">
        <v>1115</v>
      </c>
      <c r="B558" s="33" t="s">
        <v>1116</v>
      </c>
      <c r="C558" s="5"/>
      <c r="D558" s="23"/>
      <c r="E558" s="23"/>
      <c r="F558" s="42"/>
      <c r="G558" s="42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</row>
    <row r="559">
      <c r="A559" s="13" t="s">
        <v>1117</v>
      </c>
      <c r="B559" s="26" t="s">
        <v>1118</v>
      </c>
      <c r="C559" s="5"/>
      <c r="D559" s="23"/>
      <c r="E559" s="23"/>
      <c r="F559" s="42"/>
      <c r="G559" s="42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</row>
    <row r="560">
      <c r="A560" s="18" t="s">
        <v>1119</v>
      </c>
      <c r="B560" s="19" t="s">
        <v>1120</v>
      </c>
      <c r="C560" s="5"/>
      <c r="D560" s="23"/>
      <c r="E560" s="23"/>
      <c r="F560" s="42"/>
      <c r="G560" s="42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</row>
    <row r="561">
      <c r="A561" s="13" t="s">
        <v>1121</v>
      </c>
      <c r="B561" s="14" t="s">
        <v>1122</v>
      </c>
      <c r="C561" s="5"/>
      <c r="D561" s="23"/>
      <c r="E561" s="23"/>
      <c r="F561" s="42"/>
      <c r="G561" s="42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</row>
    <row r="562">
      <c r="A562" s="25" t="s">
        <v>1123</v>
      </c>
      <c r="B562" s="19" t="s">
        <v>1124</v>
      </c>
      <c r="C562" s="5"/>
      <c r="D562" s="23"/>
      <c r="E562" s="23"/>
      <c r="F562" s="42"/>
      <c r="G562" s="42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</row>
    <row r="563">
      <c r="A563" s="22" t="s">
        <v>1125</v>
      </c>
      <c r="B563" s="14" t="s">
        <v>1126</v>
      </c>
      <c r="C563" s="5"/>
      <c r="D563" s="23"/>
      <c r="E563" s="23"/>
      <c r="F563" s="42"/>
      <c r="G563" s="42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</row>
    <row r="564">
      <c r="A564" s="25" t="s">
        <v>1127</v>
      </c>
      <c r="B564" s="19" t="s">
        <v>1128</v>
      </c>
      <c r="C564" s="5"/>
      <c r="D564" s="23"/>
      <c r="E564" s="23"/>
      <c r="F564" s="42"/>
      <c r="G564" s="42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</row>
    <row r="565">
      <c r="A565" s="22" t="s">
        <v>1129</v>
      </c>
      <c r="B565" s="14" t="s">
        <v>1130</v>
      </c>
      <c r="C565" s="5"/>
      <c r="D565" s="23"/>
      <c r="E565" s="23"/>
      <c r="F565" s="42"/>
      <c r="G565" s="42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</row>
    <row r="566">
      <c r="A566" s="25" t="s">
        <v>1131</v>
      </c>
      <c r="B566" s="19" t="s">
        <v>1132</v>
      </c>
      <c r="C566" s="5"/>
      <c r="D566" s="23"/>
      <c r="E566" s="23"/>
      <c r="F566" s="42"/>
      <c r="G566" s="42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</row>
    <row r="567">
      <c r="A567" s="13" t="s">
        <v>1133</v>
      </c>
      <c r="B567" s="14" t="s">
        <v>1134</v>
      </c>
      <c r="C567" s="5"/>
      <c r="D567" s="23"/>
      <c r="E567" s="23"/>
      <c r="F567" s="42"/>
      <c r="G567" s="42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</row>
    <row r="568">
      <c r="A568" s="18" t="s">
        <v>1135</v>
      </c>
      <c r="B568" s="19" t="s">
        <v>1136</v>
      </c>
      <c r="C568" s="5"/>
      <c r="D568" s="23"/>
      <c r="E568" s="23"/>
      <c r="F568" s="42"/>
      <c r="G568" s="42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</row>
    <row r="569">
      <c r="A569" s="22" t="s">
        <v>1137</v>
      </c>
      <c r="B569" s="14" t="s">
        <v>1138</v>
      </c>
      <c r="C569" s="5"/>
      <c r="D569" s="23"/>
      <c r="E569" s="23"/>
      <c r="F569" s="42"/>
      <c r="G569" s="42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</row>
    <row r="570">
      <c r="A570" s="18" t="s">
        <v>1139</v>
      </c>
      <c r="B570" s="19" t="s">
        <v>1140</v>
      </c>
      <c r="C570" s="5"/>
      <c r="D570" s="23"/>
      <c r="E570" s="23"/>
      <c r="F570" s="42"/>
      <c r="G570" s="42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</row>
    <row r="571">
      <c r="A571" s="13" t="s">
        <v>1141</v>
      </c>
      <c r="B571" s="14" t="s">
        <v>1142</v>
      </c>
      <c r="C571" s="5"/>
      <c r="D571" s="23"/>
      <c r="E571" s="23"/>
      <c r="F571" s="42"/>
      <c r="G571" s="42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</row>
    <row r="572">
      <c r="A572" s="18" t="s">
        <v>1143</v>
      </c>
      <c r="B572" s="19" t="s">
        <v>1144</v>
      </c>
      <c r="C572" s="5"/>
      <c r="D572" s="23"/>
      <c r="E572" s="23"/>
      <c r="F572" s="42"/>
      <c r="G572" s="42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</row>
    <row r="573">
      <c r="A573" s="13" t="s">
        <v>1145</v>
      </c>
      <c r="B573" s="14" t="s">
        <v>1146</v>
      </c>
      <c r="C573" s="5"/>
      <c r="D573" s="23"/>
      <c r="E573" s="23"/>
      <c r="F573" s="42"/>
      <c r="G573" s="42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</row>
    <row r="574">
      <c r="A574" s="25" t="s">
        <v>1147</v>
      </c>
      <c r="B574" s="19" t="s">
        <v>1148</v>
      </c>
      <c r="C574" s="5"/>
      <c r="D574" s="23"/>
      <c r="E574" s="23"/>
      <c r="F574" s="42"/>
      <c r="G574" s="42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</row>
    <row r="575">
      <c r="A575" s="22" t="s">
        <v>1149</v>
      </c>
      <c r="B575" s="14" t="s">
        <v>1150</v>
      </c>
      <c r="C575" s="5"/>
      <c r="D575" s="23"/>
      <c r="E575" s="23"/>
      <c r="F575" s="42"/>
      <c r="G575" s="42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</row>
    <row r="576">
      <c r="A576" s="18" t="s">
        <v>1151</v>
      </c>
      <c r="B576" s="19" t="s">
        <v>1152</v>
      </c>
      <c r="C576" s="5"/>
      <c r="D576" s="23"/>
      <c r="E576" s="23"/>
      <c r="F576" s="42"/>
      <c r="G576" s="42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</row>
    <row r="577">
      <c r="A577" s="13" t="s">
        <v>1153</v>
      </c>
      <c r="B577" s="14" t="s">
        <v>1154</v>
      </c>
      <c r="C577" s="5"/>
      <c r="D577" s="23"/>
      <c r="E577" s="23"/>
      <c r="F577" s="42"/>
      <c r="G577" s="42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</row>
    <row r="578">
      <c r="A578" s="25" t="s">
        <v>1155</v>
      </c>
      <c r="B578" s="19" t="s">
        <v>1156</v>
      </c>
      <c r="C578" s="5"/>
      <c r="D578" s="23"/>
      <c r="E578" s="23"/>
      <c r="F578" s="42"/>
      <c r="G578" s="42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</row>
    <row r="579">
      <c r="A579" s="13" t="s">
        <v>1157</v>
      </c>
      <c r="B579" s="14" t="s">
        <v>1158</v>
      </c>
      <c r="C579" s="5"/>
      <c r="D579" s="23"/>
      <c r="E579" s="23"/>
      <c r="F579" s="42"/>
      <c r="G579" s="42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</row>
    <row r="580">
      <c r="A580" s="18" t="s">
        <v>1159</v>
      </c>
      <c r="B580" s="19" t="s">
        <v>1160</v>
      </c>
      <c r="C580" s="5"/>
      <c r="D580" s="23"/>
      <c r="E580" s="23"/>
      <c r="F580" s="42"/>
      <c r="G580" s="42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</row>
    <row r="581">
      <c r="A581" s="22" t="s">
        <v>1161</v>
      </c>
      <c r="B581" s="14" t="s">
        <v>1162</v>
      </c>
      <c r="C581" s="5"/>
      <c r="D581" s="23"/>
      <c r="E581" s="23"/>
      <c r="F581" s="42"/>
      <c r="G581" s="42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</row>
    <row r="582">
      <c r="A582" s="25" t="s">
        <v>1163</v>
      </c>
      <c r="B582" s="19" t="s">
        <v>1164</v>
      </c>
      <c r="C582" s="5"/>
      <c r="D582" s="23"/>
      <c r="E582" s="23"/>
      <c r="F582" s="42"/>
      <c r="G582" s="42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</row>
    <row r="583">
      <c r="A583" s="13" t="s">
        <v>1165</v>
      </c>
      <c r="B583" s="14" t="s">
        <v>1166</v>
      </c>
      <c r="C583" s="5"/>
      <c r="D583" s="23"/>
      <c r="E583" s="23"/>
      <c r="F583" s="42"/>
      <c r="G583" s="42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</row>
    <row r="584">
      <c r="A584" s="9" t="s">
        <v>1167</v>
      </c>
      <c r="B584" s="10" t="s">
        <v>1168</v>
      </c>
      <c r="C584" s="5"/>
      <c r="D584" s="23"/>
      <c r="E584" s="23"/>
      <c r="F584" s="42"/>
      <c r="G584" s="42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</row>
    <row r="585">
      <c r="A585" s="22" t="s">
        <v>1169</v>
      </c>
      <c r="B585" s="14" t="s">
        <v>1170</v>
      </c>
      <c r="C585" s="5"/>
      <c r="D585" s="23"/>
      <c r="E585" s="23"/>
      <c r="F585" s="42"/>
      <c r="G585" s="42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</row>
    <row r="586">
      <c r="A586" s="18" t="s">
        <v>1171</v>
      </c>
      <c r="B586" s="19" t="s">
        <v>1172</v>
      </c>
      <c r="C586" s="5"/>
      <c r="D586" s="23"/>
      <c r="E586" s="23"/>
      <c r="F586" s="42"/>
      <c r="G586" s="42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</row>
    <row r="587">
      <c r="A587" s="13" t="s">
        <v>1173</v>
      </c>
      <c r="B587" s="14" t="s">
        <v>1174</v>
      </c>
      <c r="C587" s="5"/>
      <c r="D587" s="23"/>
      <c r="E587" s="23"/>
      <c r="F587" s="42"/>
      <c r="G587" s="42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</row>
    <row r="588">
      <c r="A588" s="25" t="s">
        <v>1175</v>
      </c>
      <c r="B588" s="19" t="s">
        <v>1176</v>
      </c>
      <c r="C588" s="5"/>
      <c r="D588" s="23"/>
      <c r="E588" s="23"/>
      <c r="F588" s="42"/>
      <c r="G588" s="42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</row>
    <row r="589">
      <c r="A589" s="13" t="s">
        <v>1177</v>
      </c>
      <c r="B589" s="14" t="s">
        <v>1178</v>
      </c>
      <c r="C589" s="5"/>
      <c r="D589" s="23"/>
      <c r="E589" s="23"/>
      <c r="F589" s="42"/>
      <c r="G589" s="42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</row>
    <row r="590">
      <c r="A590" s="18" t="s">
        <v>1179</v>
      </c>
      <c r="B590" s="19" t="s">
        <v>1180</v>
      </c>
      <c r="C590" s="5"/>
      <c r="D590" s="23"/>
      <c r="E590" s="23"/>
      <c r="F590" s="42"/>
      <c r="G590" s="42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</row>
    <row r="591">
      <c r="A591" s="22" t="s">
        <v>1181</v>
      </c>
      <c r="B591" s="14" t="s">
        <v>1182</v>
      </c>
      <c r="C591" s="5"/>
      <c r="D591" s="23"/>
      <c r="E591" s="23"/>
      <c r="F591" s="42"/>
      <c r="G591" s="42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</row>
    <row r="592">
      <c r="A592" s="25" t="s">
        <v>1183</v>
      </c>
      <c r="B592" s="19" t="s">
        <v>1184</v>
      </c>
      <c r="C592" s="5"/>
      <c r="D592" s="23"/>
      <c r="E592" s="23"/>
      <c r="F592" s="42"/>
      <c r="G592" s="42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</row>
    <row r="593">
      <c r="A593" s="13" t="s">
        <v>1185</v>
      </c>
      <c r="B593" s="14" t="s">
        <v>1186</v>
      </c>
      <c r="C593" s="5"/>
      <c r="D593" s="23"/>
      <c r="E593" s="23"/>
      <c r="F593" s="42"/>
      <c r="G593" s="42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</row>
    <row r="594">
      <c r="A594" s="18" t="s">
        <v>1187</v>
      </c>
      <c r="B594" s="19" t="s">
        <v>1188</v>
      </c>
      <c r="C594" s="5"/>
      <c r="D594" s="23"/>
      <c r="E594" s="23"/>
      <c r="F594" s="42"/>
      <c r="G594" s="42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</row>
    <row r="595">
      <c r="A595" s="22" t="s">
        <v>1189</v>
      </c>
      <c r="B595" s="14" t="s">
        <v>1190</v>
      </c>
      <c r="C595" s="5"/>
      <c r="D595" s="23"/>
      <c r="E595" s="23"/>
      <c r="F595" s="42"/>
      <c r="G595" s="42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</row>
    <row r="596">
      <c r="A596" s="25" t="s">
        <v>1191</v>
      </c>
      <c r="B596" s="19" t="s">
        <v>1192</v>
      </c>
      <c r="C596" s="5"/>
      <c r="D596" s="23"/>
      <c r="E596" s="23"/>
      <c r="F596" s="42"/>
      <c r="G596" s="42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</row>
    <row r="597">
      <c r="A597" s="22" t="s">
        <v>1193</v>
      </c>
      <c r="B597" s="14" t="s">
        <v>1194</v>
      </c>
      <c r="C597" s="5"/>
      <c r="D597" s="23"/>
      <c r="E597" s="23"/>
      <c r="F597" s="42"/>
      <c r="G597" s="42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</row>
    <row r="598">
      <c r="A598" s="18" t="s">
        <v>1195</v>
      </c>
      <c r="B598" s="19" t="s">
        <v>1196</v>
      </c>
      <c r="C598" s="5"/>
      <c r="D598" s="23"/>
      <c r="E598" s="23"/>
      <c r="F598" s="42"/>
      <c r="G598" s="42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</row>
    <row r="599">
      <c r="A599" s="13" t="s">
        <v>1197</v>
      </c>
      <c r="B599" s="14" t="s">
        <v>1198</v>
      </c>
      <c r="C599" s="5"/>
      <c r="D599" s="23"/>
      <c r="E599" s="23"/>
      <c r="F599" s="42"/>
      <c r="G599" s="42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</row>
    <row r="600">
      <c r="A600" s="18" t="s">
        <v>1199</v>
      </c>
      <c r="B600" s="19" t="s">
        <v>1200</v>
      </c>
      <c r="C600" s="5"/>
      <c r="D600" s="23"/>
      <c r="E600" s="23"/>
      <c r="F600" s="42"/>
      <c r="G600" s="42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</row>
    <row r="601">
      <c r="A601" s="13" t="s">
        <v>1201</v>
      </c>
      <c r="B601" s="14" t="s">
        <v>1202</v>
      </c>
      <c r="C601" s="5"/>
      <c r="D601" s="23"/>
      <c r="E601" s="23"/>
      <c r="F601" s="42"/>
      <c r="G601" s="42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</row>
    <row r="602">
      <c r="A602" s="18" t="s">
        <v>1203</v>
      </c>
      <c r="B602" s="19" t="s">
        <v>1204</v>
      </c>
      <c r="C602" s="5"/>
      <c r="D602" s="23"/>
      <c r="E602" s="23"/>
      <c r="F602" s="42"/>
      <c r="G602" s="42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</row>
    <row r="603">
      <c r="A603" s="13" t="s">
        <v>1205</v>
      </c>
      <c r="B603" s="26" t="s">
        <v>1205</v>
      </c>
      <c r="C603" s="5"/>
      <c r="D603" s="23"/>
      <c r="E603" s="23"/>
      <c r="F603" s="42"/>
      <c r="G603" s="42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</row>
    <row r="604">
      <c r="A604" s="25" t="s">
        <v>1206</v>
      </c>
      <c r="B604" s="19" t="s">
        <v>1207</v>
      </c>
      <c r="C604" s="5"/>
      <c r="D604" s="23"/>
      <c r="E604" s="23"/>
      <c r="F604" s="42"/>
      <c r="G604" s="42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</row>
    <row r="605">
      <c r="A605" s="22" t="s">
        <v>1208</v>
      </c>
      <c r="B605" s="14" t="s">
        <v>1209</v>
      </c>
      <c r="C605" s="5"/>
      <c r="D605" s="23"/>
      <c r="E605" s="23"/>
      <c r="F605" s="42"/>
      <c r="G605" s="42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</row>
    <row r="606">
      <c r="A606" s="18" t="s">
        <v>1210</v>
      </c>
      <c r="B606" s="33" t="s">
        <v>1211</v>
      </c>
      <c r="C606" s="5"/>
      <c r="D606" s="23"/>
      <c r="E606" s="23"/>
      <c r="F606" s="42"/>
      <c r="G606" s="42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</row>
    <row r="607">
      <c r="A607" s="22" t="s">
        <v>1212</v>
      </c>
      <c r="B607" s="14" t="s">
        <v>1213</v>
      </c>
      <c r="C607" s="5"/>
      <c r="D607" s="23"/>
      <c r="E607" s="23"/>
      <c r="F607" s="42"/>
      <c r="G607" s="42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</row>
    <row r="608">
      <c r="A608" s="25" t="s">
        <v>1214</v>
      </c>
      <c r="B608" s="19" t="s">
        <v>1215</v>
      </c>
      <c r="C608" s="5"/>
      <c r="D608" s="23"/>
      <c r="E608" s="23"/>
      <c r="F608" s="42"/>
      <c r="G608" s="42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</row>
    <row r="609">
      <c r="A609" s="13" t="s">
        <v>1216</v>
      </c>
      <c r="B609" s="14" t="s">
        <v>1217</v>
      </c>
      <c r="C609" s="5"/>
      <c r="D609" s="23"/>
      <c r="E609" s="23"/>
      <c r="F609" s="42"/>
      <c r="G609" s="42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</row>
    <row r="610">
      <c r="A610" s="18" t="s">
        <v>1218</v>
      </c>
      <c r="B610" s="19" t="s">
        <v>1219</v>
      </c>
      <c r="C610" s="5"/>
      <c r="D610" s="23"/>
      <c r="E610" s="23"/>
      <c r="F610" s="42"/>
      <c r="G610" s="42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</row>
    <row r="611">
      <c r="A611" s="22" t="s">
        <v>1220</v>
      </c>
      <c r="B611" s="14" t="s">
        <v>1221</v>
      </c>
      <c r="C611" s="5"/>
      <c r="D611" s="23"/>
      <c r="E611" s="23"/>
      <c r="F611" s="42"/>
      <c r="G611" s="42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</row>
    <row r="612">
      <c r="A612" s="9" t="s">
        <v>1222</v>
      </c>
      <c r="B612" s="10" t="s">
        <v>1223</v>
      </c>
      <c r="C612" s="5"/>
      <c r="D612" s="23"/>
      <c r="E612" s="23"/>
      <c r="F612" s="42"/>
      <c r="G612" s="42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</row>
    <row r="613">
      <c r="A613" s="13" t="s">
        <v>1224</v>
      </c>
      <c r="B613" s="14" t="s">
        <v>1225</v>
      </c>
      <c r="C613" s="43"/>
      <c r="D613" s="23"/>
      <c r="E613" s="23"/>
      <c r="F613" s="42"/>
      <c r="G613" s="42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</row>
    <row r="614">
      <c r="A614" s="18" t="s">
        <v>1226</v>
      </c>
      <c r="B614" s="19" t="s">
        <v>1227</v>
      </c>
      <c r="C614" s="5"/>
      <c r="D614" s="23"/>
      <c r="E614" s="23"/>
      <c r="F614" s="42"/>
      <c r="G614" s="42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</row>
    <row r="615">
      <c r="A615" s="13" t="s">
        <v>1228</v>
      </c>
      <c r="B615" s="14" t="s">
        <v>1229</v>
      </c>
      <c r="C615" s="5"/>
      <c r="D615" s="23"/>
      <c r="E615" s="23"/>
      <c r="F615" s="42"/>
      <c r="G615" s="42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</row>
    <row r="616">
      <c r="A616" s="25" t="s">
        <v>1230</v>
      </c>
      <c r="B616" s="33" t="s">
        <v>1231</v>
      </c>
      <c r="C616" s="5"/>
      <c r="D616" s="23"/>
      <c r="E616" s="23"/>
      <c r="F616" s="42"/>
      <c r="G616" s="42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</row>
    <row r="617">
      <c r="A617" s="22" t="s">
        <v>1232</v>
      </c>
      <c r="B617" s="14" t="s">
        <v>1233</v>
      </c>
      <c r="C617" s="5"/>
      <c r="D617" s="23"/>
      <c r="E617" s="23"/>
      <c r="F617" s="42"/>
      <c r="G617" s="42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</row>
    <row r="618">
      <c r="A618" s="25" t="s">
        <v>1234</v>
      </c>
      <c r="B618" s="19" t="s">
        <v>1235</v>
      </c>
      <c r="C618" s="5"/>
      <c r="D618" s="23"/>
      <c r="E618" s="23"/>
      <c r="F618" s="42"/>
      <c r="G618" s="42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</row>
    <row r="619">
      <c r="A619" s="22" t="s">
        <v>1236</v>
      </c>
      <c r="B619" s="14" t="s">
        <v>1237</v>
      </c>
      <c r="C619" s="5"/>
      <c r="D619" s="23"/>
      <c r="E619" s="23"/>
      <c r="F619" s="42"/>
      <c r="G619" s="42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</row>
    <row r="620">
      <c r="A620" s="25" t="s">
        <v>1238</v>
      </c>
      <c r="B620" s="19" t="s">
        <v>1239</v>
      </c>
      <c r="C620" s="5"/>
      <c r="D620" s="23"/>
      <c r="E620" s="23"/>
      <c r="F620" s="42"/>
      <c r="G620" s="42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</row>
    <row r="621">
      <c r="A621" s="22" t="s">
        <v>1240</v>
      </c>
      <c r="B621" s="14" t="s">
        <v>1241</v>
      </c>
      <c r="C621" s="5"/>
      <c r="D621" s="23"/>
      <c r="E621" s="23"/>
      <c r="F621" s="42"/>
      <c r="G621" s="42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</row>
    <row r="622">
      <c r="A622" s="25" t="s">
        <v>1242</v>
      </c>
      <c r="B622" s="19" t="s">
        <v>1243</v>
      </c>
      <c r="C622" s="5"/>
      <c r="D622" s="23"/>
      <c r="E622" s="23"/>
      <c r="F622" s="42"/>
      <c r="G622" s="42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</row>
    <row r="623">
      <c r="A623" s="13" t="s">
        <v>1244</v>
      </c>
      <c r="B623" s="26" t="s">
        <v>1245</v>
      </c>
      <c r="C623" s="5"/>
      <c r="D623" s="23"/>
      <c r="E623" s="23"/>
      <c r="F623" s="42"/>
      <c r="G623" s="42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</row>
    <row r="624">
      <c r="A624" s="18" t="s">
        <v>1246</v>
      </c>
      <c r="B624" s="19" t="s">
        <v>1247</v>
      </c>
      <c r="C624" s="5"/>
      <c r="D624" s="23"/>
      <c r="E624" s="23"/>
      <c r="F624" s="42"/>
      <c r="G624" s="42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</row>
    <row r="625">
      <c r="A625" s="13" t="s">
        <v>1248</v>
      </c>
      <c r="B625" s="14" t="s">
        <v>1249</v>
      </c>
      <c r="C625" s="5"/>
      <c r="D625" s="23"/>
      <c r="E625" s="23"/>
      <c r="F625" s="42"/>
      <c r="G625" s="42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</row>
    <row r="626">
      <c r="A626" s="18" t="s">
        <v>1250</v>
      </c>
      <c r="B626" s="19" t="s">
        <v>1251</v>
      </c>
      <c r="C626" s="5"/>
      <c r="D626" s="23"/>
      <c r="E626" s="23"/>
      <c r="F626" s="42"/>
      <c r="G626" s="42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</row>
    <row r="627">
      <c r="A627" s="22" t="s">
        <v>1252</v>
      </c>
      <c r="B627" s="14" t="s">
        <v>1253</v>
      </c>
      <c r="C627" s="5"/>
      <c r="D627" s="23"/>
      <c r="E627" s="23"/>
      <c r="F627" s="42"/>
      <c r="G627" s="42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</row>
    <row r="628">
      <c r="A628" s="25" t="s">
        <v>1254</v>
      </c>
      <c r="B628" s="19" t="s">
        <v>1255</v>
      </c>
      <c r="C628" s="5"/>
      <c r="D628" s="23"/>
      <c r="E628" s="23"/>
      <c r="F628" s="42"/>
      <c r="G628" s="42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</row>
    <row r="629">
      <c r="A629" s="13" t="s">
        <v>1256</v>
      </c>
      <c r="B629" s="14" t="s">
        <v>1257</v>
      </c>
      <c r="C629" s="5"/>
      <c r="D629" s="23"/>
      <c r="E629" s="23"/>
      <c r="F629" s="42"/>
      <c r="G629" s="42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</row>
    <row r="630">
      <c r="A630" s="18" t="s">
        <v>1258</v>
      </c>
      <c r="B630" s="19" t="s">
        <v>1259</v>
      </c>
      <c r="C630" s="5"/>
      <c r="D630" s="23"/>
      <c r="E630" s="23"/>
      <c r="F630" s="42"/>
      <c r="G630" s="42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</row>
    <row r="631">
      <c r="A631" s="22" t="s">
        <v>1260</v>
      </c>
      <c r="B631" s="14" t="s">
        <v>1261</v>
      </c>
      <c r="C631" s="5"/>
      <c r="D631" s="23"/>
      <c r="E631" s="23"/>
      <c r="F631" s="42"/>
      <c r="G631" s="42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</row>
    <row r="632">
      <c r="A632" s="25" t="s">
        <v>1262</v>
      </c>
      <c r="B632" s="19" t="s">
        <v>1263</v>
      </c>
      <c r="C632" s="5"/>
      <c r="D632" s="23"/>
      <c r="E632" s="23"/>
      <c r="F632" s="42"/>
      <c r="G632" s="42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</row>
    <row r="633">
      <c r="A633" s="22" t="s">
        <v>1264</v>
      </c>
      <c r="B633" s="14" t="s">
        <v>1265</v>
      </c>
      <c r="C633" s="5"/>
      <c r="D633" s="23"/>
      <c r="E633" s="23"/>
      <c r="F633" s="42"/>
      <c r="G633" s="42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</row>
    <row r="634">
      <c r="A634" s="18" t="s">
        <v>1266</v>
      </c>
      <c r="B634" s="19" t="s">
        <v>1267</v>
      </c>
      <c r="C634" s="5"/>
      <c r="D634" s="23"/>
      <c r="E634" s="23"/>
      <c r="F634" s="42"/>
      <c r="G634" s="42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</row>
    <row r="635">
      <c r="A635" s="13" t="s">
        <v>1268</v>
      </c>
      <c r="B635" s="14" t="s">
        <v>1269</v>
      </c>
      <c r="C635" s="5"/>
      <c r="D635" s="23"/>
      <c r="E635" s="23"/>
      <c r="F635" s="42"/>
      <c r="G635" s="42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</row>
    <row r="636">
      <c r="A636" s="25" t="s">
        <v>1270</v>
      </c>
      <c r="B636" s="19" t="s">
        <v>1271</v>
      </c>
      <c r="C636" s="5"/>
      <c r="D636" s="23"/>
      <c r="E636" s="23"/>
      <c r="F636" s="42"/>
      <c r="G636" s="42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</row>
    <row r="637">
      <c r="A637" s="22" t="s">
        <v>1272</v>
      </c>
      <c r="B637" s="14" t="s">
        <v>1273</v>
      </c>
      <c r="C637" s="5"/>
      <c r="D637" s="23"/>
      <c r="E637" s="23"/>
      <c r="F637" s="42"/>
      <c r="G637" s="42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</row>
    <row r="638">
      <c r="A638" s="18" t="s">
        <v>1274</v>
      </c>
      <c r="B638" s="19" t="s">
        <v>1275</v>
      </c>
      <c r="C638" s="5"/>
      <c r="D638" s="23"/>
      <c r="E638" s="23"/>
      <c r="F638" s="42"/>
      <c r="G638" s="42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</row>
    <row r="639">
      <c r="A639" s="22" t="s">
        <v>1276</v>
      </c>
      <c r="B639" s="14" t="s">
        <v>1277</v>
      </c>
      <c r="C639" s="5"/>
      <c r="D639" s="23"/>
      <c r="E639" s="23"/>
      <c r="F639" s="42"/>
      <c r="G639" s="42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</row>
    <row r="640">
      <c r="A640" s="25" t="s">
        <v>1278</v>
      </c>
      <c r="B640" s="19" t="s">
        <v>1279</v>
      </c>
      <c r="C640" s="5"/>
      <c r="D640" s="23"/>
      <c r="E640" s="23"/>
      <c r="F640" s="42"/>
      <c r="G640" s="42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</row>
    <row r="641">
      <c r="A641" s="22" t="s">
        <v>1280</v>
      </c>
      <c r="B641" s="14" t="s">
        <v>1281</v>
      </c>
      <c r="C641" s="5"/>
      <c r="D641" s="23"/>
      <c r="E641" s="23"/>
      <c r="F641" s="42"/>
      <c r="G641" s="42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</row>
    <row r="642">
      <c r="A642" s="25" t="s">
        <v>1282</v>
      </c>
      <c r="B642" s="19" t="s">
        <v>1283</v>
      </c>
      <c r="C642" s="5"/>
      <c r="D642" s="23"/>
      <c r="E642" s="23"/>
      <c r="F642" s="42"/>
      <c r="G642" s="42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</row>
    <row r="643">
      <c r="A643" s="22" t="s">
        <v>1284</v>
      </c>
      <c r="B643" s="14" t="s">
        <v>1285</v>
      </c>
      <c r="C643" s="5"/>
      <c r="D643" s="23"/>
      <c r="E643" s="23"/>
      <c r="F643" s="42"/>
      <c r="G643" s="42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</row>
    <row r="644">
      <c r="A644" s="18" t="s">
        <v>1286</v>
      </c>
      <c r="B644" s="19" t="s">
        <v>1287</v>
      </c>
      <c r="C644" s="5"/>
      <c r="D644" s="23"/>
      <c r="E644" s="23"/>
      <c r="F644" s="42"/>
      <c r="G644" s="42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</row>
    <row r="645">
      <c r="A645" s="13" t="s">
        <v>1288</v>
      </c>
      <c r="B645" s="14" t="s">
        <v>1289</v>
      </c>
      <c r="C645" s="5"/>
      <c r="D645" s="23"/>
      <c r="E645" s="23"/>
      <c r="F645" s="42"/>
      <c r="G645" s="42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</row>
    <row r="646">
      <c r="A646" s="25" t="s">
        <v>1290</v>
      </c>
      <c r="B646" s="19" t="s">
        <v>1291</v>
      </c>
      <c r="C646" s="5"/>
      <c r="D646" s="23"/>
      <c r="E646" s="23"/>
      <c r="F646" s="42"/>
      <c r="G646" s="42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</row>
    <row r="647">
      <c r="A647" s="13" t="s">
        <v>1292</v>
      </c>
      <c r="B647" s="14" t="s">
        <v>1293</v>
      </c>
      <c r="C647" s="5"/>
      <c r="D647" s="23"/>
      <c r="E647" s="23"/>
      <c r="F647" s="42"/>
      <c r="G647" s="42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</row>
    <row r="648">
      <c r="A648" s="18" t="s">
        <v>1294</v>
      </c>
      <c r="B648" s="19" t="s">
        <v>1295</v>
      </c>
      <c r="C648" s="5"/>
      <c r="D648" s="23"/>
      <c r="E648" s="23"/>
      <c r="F648" s="42"/>
      <c r="G648" s="42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</row>
    <row r="649">
      <c r="A649" s="22" t="s">
        <v>1296</v>
      </c>
      <c r="B649" s="14" t="s">
        <v>1297</v>
      </c>
      <c r="C649" s="5"/>
      <c r="D649" s="23"/>
      <c r="E649" s="23"/>
      <c r="F649" s="42"/>
      <c r="G649" s="42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</row>
    <row r="650">
      <c r="A650" s="25" t="s">
        <v>1298</v>
      </c>
      <c r="B650" s="19" t="s">
        <v>1299</v>
      </c>
      <c r="C650" s="5"/>
      <c r="D650" s="23"/>
      <c r="E650" s="23"/>
      <c r="F650" s="42"/>
      <c r="G650" s="42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</row>
    <row r="651">
      <c r="A651" s="13" t="s">
        <v>1300</v>
      </c>
      <c r="B651" s="14" t="s">
        <v>1301</v>
      </c>
      <c r="C651" s="5"/>
      <c r="D651" s="23"/>
      <c r="E651" s="23"/>
      <c r="F651" s="42"/>
      <c r="G651" s="42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</row>
    <row r="652">
      <c r="A652" s="18" t="s">
        <v>1302</v>
      </c>
      <c r="B652" s="33" t="s">
        <v>1303</v>
      </c>
      <c r="C652" s="5"/>
      <c r="D652" s="23"/>
      <c r="E652" s="23"/>
      <c r="F652" s="42"/>
      <c r="G652" s="42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</row>
    <row r="653">
      <c r="A653" s="13" t="s">
        <v>1304</v>
      </c>
      <c r="B653" s="14" t="s">
        <v>1305</v>
      </c>
      <c r="C653" s="5"/>
      <c r="D653" s="23"/>
      <c r="E653" s="23"/>
      <c r="F653" s="42"/>
      <c r="G653" s="42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</row>
    <row r="654">
      <c r="A654" s="25" t="s">
        <v>1306</v>
      </c>
      <c r="B654" s="19" t="s">
        <v>1307</v>
      </c>
      <c r="C654" s="5"/>
      <c r="D654" s="23"/>
      <c r="E654" s="23"/>
      <c r="F654" s="42"/>
      <c r="G654" s="42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</row>
    <row r="655">
      <c r="A655" s="22" t="s">
        <v>1308</v>
      </c>
      <c r="B655" s="14" t="s">
        <v>1309</v>
      </c>
      <c r="C655" s="5"/>
      <c r="D655" s="23"/>
      <c r="E655" s="23"/>
      <c r="F655" s="42"/>
      <c r="G655" s="42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</row>
    <row r="656">
      <c r="A656" s="18" t="s">
        <v>1310</v>
      </c>
      <c r="B656" s="19" t="s">
        <v>1311</v>
      </c>
      <c r="C656" s="5"/>
      <c r="D656" s="23"/>
      <c r="E656" s="23"/>
      <c r="F656" s="42"/>
      <c r="G656" s="42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</row>
    <row r="657">
      <c r="A657" s="13" t="s">
        <v>1312</v>
      </c>
      <c r="B657" s="14" t="s">
        <v>1313</v>
      </c>
      <c r="C657" s="5"/>
      <c r="D657" s="23"/>
      <c r="E657" s="23"/>
      <c r="F657" s="42"/>
      <c r="G657" s="42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</row>
    <row r="658">
      <c r="A658" s="18" t="s">
        <v>1314</v>
      </c>
      <c r="B658" s="19" t="s">
        <v>1315</v>
      </c>
      <c r="C658" s="5"/>
      <c r="D658" s="23"/>
      <c r="E658" s="23"/>
      <c r="F658" s="42"/>
      <c r="G658" s="42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</row>
    <row r="659">
      <c r="A659" s="22" t="s">
        <v>1316</v>
      </c>
      <c r="B659" s="14" t="s">
        <v>1317</v>
      </c>
      <c r="C659" s="5"/>
      <c r="D659" s="23"/>
      <c r="E659" s="23"/>
      <c r="F659" s="42"/>
      <c r="G659" s="42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</row>
    <row r="660">
      <c r="A660" s="18" t="s">
        <v>1318</v>
      </c>
      <c r="B660" s="19" t="s">
        <v>1319</v>
      </c>
      <c r="C660" s="5"/>
      <c r="D660" s="23"/>
      <c r="E660" s="23"/>
      <c r="F660" s="42"/>
      <c r="G660" s="42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</row>
    <row r="661">
      <c r="A661" s="13" t="s">
        <v>1320</v>
      </c>
      <c r="B661" s="14" t="s">
        <v>1321</v>
      </c>
      <c r="C661" s="5"/>
      <c r="D661" s="23"/>
      <c r="E661" s="23"/>
      <c r="F661" s="42"/>
      <c r="G661" s="42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</row>
    <row r="662">
      <c r="A662" s="25" t="s">
        <v>1322</v>
      </c>
      <c r="B662" s="19" t="s">
        <v>1323</v>
      </c>
      <c r="C662" s="5"/>
      <c r="D662" s="23"/>
      <c r="E662" s="23"/>
      <c r="F662" s="42"/>
      <c r="G662" s="42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</row>
    <row r="663">
      <c r="A663" s="13" t="s">
        <v>1324</v>
      </c>
      <c r="B663" s="14" t="s">
        <v>1325</v>
      </c>
      <c r="C663" s="5"/>
      <c r="D663" s="23"/>
      <c r="E663" s="23"/>
      <c r="F663" s="42"/>
      <c r="G663" s="42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</row>
    <row r="664">
      <c r="A664" s="25" t="s">
        <v>1326</v>
      </c>
      <c r="B664" s="19" t="s">
        <v>1327</v>
      </c>
      <c r="C664" s="5"/>
      <c r="D664" s="23"/>
      <c r="E664" s="23"/>
      <c r="F664" s="42"/>
      <c r="G664" s="42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</row>
    <row r="665">
      <c r="A665" s="22" t="s">
        <v>1328</v>
      </c>
      <c r="B665" s="14" t="s">
        <v>1329</v>
      </c>
      <c r="C665" s="5"/>
      <c r="D665" s="23"/>
      <c r="E665" s="23"/>
      <c r="F665" s="42"/>
      <c r="G665" s="42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</row>
    <row r="666">
      <c r="A666" s="18" t="s">
        <v>1330</v>
      </c>
      <c r="B666" s="19" t="s">
        <v>1331</v>
      </c>
      <c r="C666" s="5"/>
      <c r="D666" s="23"/>
      <c r="E666" s="23"/>
      <c r="F666" s="42"/>
      <c r="G666" s="42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</row>
    <row r="667">
      <c r="A667" s="13" t="s">
        <v>1332</v>
      </c>
      <c r="B667" s="14" t="s">
        <v>1333</v>
      </c>
      <c r="C667" s="5"/>
      <c r="D667" s="23"/>
      <c r="E667" s="23"/>
      <c r="F667" s="42"/>
      <c r="G667" s="42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</row>
    <row r="668">
      <c r="A668" s="25" t="s">
        <v>1334</v>
      </c>
      <c r="B668" s="19" t="s">
        <v>1335</v>
      </c>
      <c r="C668" s="5"/>
      <c r="D668" s="23"/>
      <c r="E668" s="23"/>
      <c r="F668" s="42"/>
      <c r="G668" s="42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</row>
    <row r="669">
      <c r="A669" s="22" t="s">
        <v>1336</v>
      </c>
      <c r="B669" s="14" t="s">
        <v>1337</v>
      </c>
      <c r="C669" s="5"/>
      <c r="D669" s="23"/>
      <c r="E669" s="23"/>
      <c r="F669" s="42"/>
      <c r="G669" s="42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</row>
    <row r="670">
      <c r="A670" s="18" t="s">
        <v>1338</v>
      </c>
      <c r="B670" s="19" t="s">
        <v>1339</v>
      </c>
      <c r="C670" s="5"/>
      <c r="D670" s="23"/>
      <c r="E670" s="23"/>
      <c r="F670" s="42"/>
      <c r="G670" s="42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</row>
    <row r="671">
      <c r="A671" s="22" t="s">
        <v>1340</v>
      </c>
      <c r="B671" s="14" t="s">
        <v>1341</v>
      </c>
      <c r="C671" s="5"/>
      <c r="D671" s="23"/>
      <c r="E671" s="23"/>
      <c r="F671" s="42"/>
      <c r="G671" s="42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</row>
    <row r="672">
      <c r="A672" s="18" t="s">
        <v>1342</v>
      </c>
      <c r="B672" s="19" t="s">
        <v>1343</v>
      </c>
      <c r="C672" s="5"/>
      <c r="D672" s="23"/>
      <c r="E672" s="23"/>
      <c r="F672" s="42"/>
      <c r="G672" s="42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</row>
    <row r="673">
      <c r="A673" s="22" t="s">
        <v>1344</v>
      </c>
      <c r="B673" s="14" t="s">
        <v>1345</v>
      </c>
      <c r="C673" s="5"/>
      <c r="D673" s="23"/>
      <c r="E673" s="23"/>
      <c r="F673" s="42"/>
      <c r="G673" s="42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</row>
    <row r="674">
      <c r="A674" s="25" t="s">
        <v>1346</v>
      </c>
      <c r="B674" s="19" t="s">
        <v>1347</v>
      </c>
      <c r="C674" s="5"/>
      <c r="D674" s="23"/>
      <c r="E674" s="23"/>
      <c r="F674" s="42"/>
      <c r="G674" s="42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</row>
    <row r="675">
      <c r="A675" s="13" t="s">
        <v>1348</v>
      </c>
      <c r="B675" s="26" t="s">
        <v>1349</v>
      </c>
      <c r="C675" s="5"/>
      <c r="D675" s="23"/>
      <c r="E675" s="23"/>
      <c r="F675" s="42"/>
      <c r="G675" s="42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</row>
    <row r="676">
      <c r="A676" s="18" t="s">
        <v>1350</v>
      </c>
      <c r="B676" s="33" t="s">
        <v>1351</v>
      </c>
      <c r="C676" s="5"/>
      <c r="D676" s="23"/>
      <c r="E676" s="23"/>
      <c r="F676" s="42"/>
      <c r="G676" s="42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</row>
    <row r="677">
      <c r="A677" s="22" t="s">
        <v>1352</v>
      </c>
      <c r="B677" s="14" t="s">
        <v>1353</v>
      </c>
      <c r="C677" s="5"/>
      <c r="D677" s="23"/>
      <c r="E677" s="23"/>
      <c r="F677" s="42"/>
      <c r="G677" s="42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</row>
    <row r="678">
      <c r="A678" s="18" t="s">
        <v>1354</v>
      </c>
      <c r="B678" s="19" t="s">
        <v>1355</v>
      </c>
      <c r="C678" s="5"/>
      <c r="D678" s="23"/>
      <c r="E678" s="23"/>
      <c r="F678" s="42"/>
      <c r="G678" s="42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</row>
    <row r="679">
      <c r="A679" s="13" t="s">
        <v>1356</v>
      </c>
      <c r="B679" s="26" t="s">
        <v>1357</v>
      </c>
      <c r="C679" s="5"/>
      <c r="D679" s="23"/>
      <c r="E679" s="23"/>
      <c r="F679" s="42"/>
      <c r="G679" s="42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</row>
    <row r="680">
      <c r="A680" s="25" t="s">
        <v>1358</v>
      </c>
      <c r="B680" s="19" t="s">
        <v>1359</v>
      </c>
      <c r="C680" s="5"/>
      <c r="D680" s="23"/>
      <c r="E680" s="23"/>
      <c r="F680" s="42"/>
      <c r="G680" s="42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</row>
    <row r="681">
      <c r="A681" s="22" t="s">
        <v>1360</v>
      </c>
      <c r="B681" s="14" t="s">
        <v>1361</v>
      </c>
      <c r="C681" s="5"/>
      <c r="D681" s="23"/>
      <c r="E681" s="23"/>
      <c r="F681" s="42"/>
      <c r="G681" s="42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</row>
    <row r="682">
      <c r="A682" s="18" t="s">
        <v>1362</v>
      </c>
      <c r="B682" s="19" t="s">
        <v>1363</v>
      </c>
      <c r="C682" s="5"/>
      <c r="D682" s="23"/>
      <c r="E682" s="23"/>
      <c r="F682" s="42"/>
      <c r="G682" s="42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</row>
    <row r="683">
      <c r="A683" s="13" t="s">
        <v>1364</v>
      </c>
      <c r="B683" s="14" t="s">
        <v>1365</v>
      </c>
      <c r="C683" s="5"/>
      <c r="D683" s="23"/>
      <c r="E683" s="23"/>
      <c r="F683" s="42"/>
      <c r="G683" s="42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</row>
    <row r="684">
      <c r="A684" s="18" t="s">
        <v>1366</v>
      </c>
      <c r="B684" s="19" t="s">
        <v>1367</v>
      </c>
      <c r="C684" s="5"/>
      <c r="D684" s="23"/>
      <c r="E684" s="23"/>
      <c r="F684" s="42"/>
      <c r="G684" s="42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</row>
    <row r="685">
      <c r="A685" s="13" t="s">
        <v>1368</v>
      </c>
      <c r="B685" s="14" t="s">
        <v>1369</v>
      </c>
      <c r="C685" s="5"/>
      <c r="D685" s="23"/>
      <c r="E685" s="23"/>
      <c r="F685" s="42"/>
      <c r="G685" s="42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</row>
    <row r="686">
      <c r="A686" s="25" t="s">
        <v>1370</v>
      </c>
      <c r="B686" s="19" t="s">
        <v>1371</v>
      </c>
      <c r="C686" s="5"/>
      <c r="D686" s="23"/>
      <c r="E686" s="23"/>
      <c r="F686" s="42"/>
      <c r="G686" s="42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</row>
    <row r="687">
      <c r="A687" s="13" t="s">
        <v>1372</v>
      </c>
      <c r="B687" s="14" t="s">
        <v>1373</v>
      </c>
      <c r="C687" s="5"/>
      <c r="D687" s="23"/>
      <c r="E687" s="23"/>
      <c r="F687" s="42"/>
      <c r="G687" s="42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</row>
    <row r="688">
      <c r="A688" s="18" t="s">
        <v>1374</v>
      </c>
      <c r="B688" s="19" t="s">
        <v>1375</v>
      </c>
      <c r="C688" s="5"/>
      <c r="D688" s="23"/>
      <c r="E688" s="23"/>
      <c r="F688" s="42"/>
      <c r="G688" s="42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</row>
    <row r="689">
      <c r="A689" s="13" t="s">
        <v>1376</v>
      </c>
      <c r="B689" s="14" t="s">
        <v>1377</v>
      </c>
      <c r="C689" s="5"/>
      <c r="D689" s="23"/>
      <c r="E689" s="23"/>
      <c r="F689" s="42"/>
      <c r="G689" s="42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</row>
    <row r="690">
      <c r="A690" s="25" t="s">
        <v>1378</v>
      </c>
      <c r="B690" s="19" t="s">
        <v>1379</v>
      </c>
      <c r="C690" s="5"/>
      <c r="D690" s="23"/>
      <c r="E690" s="23"/>
      <c r="F690" s="42"/>
      <c r="G690" s="42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</row>
    <row r="691">
      <c r="A691" s="22" t="s">
        <v>1380</v>
      </c>
      <c r="B691" s="14" t="s">
        <v>1381</v>
      </c>
      <c r="C691" s="5"/>
      <c r="D691" s="23"/>
      <c r="E691" s="23"/>
      <c r="F691" s="42"/>
      <c r="G691" s="42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</row>
    <row r="692">
      <c r="A692" s="25" t="s">
        <v>1382</v>
      </c>
      <c r="B692" s="19" t="s">
        <v>1383</v>
      </c>
      <c r="C692" s="5"/>
      <c r="D692" s="23"/>
      <c r="E692" s="23"/>
      <c r="F692" s="42"/>
      <c r="G692" s="42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</row>
    <row r="693">
      <c r="A693" s="22" t="s">
        <v>1384</v>
      </c>
      <c r="B693" s="14" t="s">
        <v>1385</v>
      </c>
      <c r="C693" s="5"/>
      <c r="D693" s="23"/>
      <c r="E693" s="23"/>
      <c r="F693" s="42"/>
      <c r="G693" s="42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</row>
    <row r="694">
      <c r="A694" s="25" t="s">
        <v>1386</v>
      </c>
      <c r="B694" s="19" t="s">
        <v>1387</v>
      </c>
      <c r="C694" s="5"/>
      <c r="D694" s="23"/>
      <c r="E694" s="23"/>
      <c r="F694" s="42"/>
      <c r="G694" s="42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</row>
    <row r="695">
      <c r="A695" s="22" t="s">
        <v>1388</v>
      </c>
      <c r="B695" s="14" t="s">
        <v>1389</v>
      </c>
      <c r="C695" s="5"/>
      <c r="D695" s="23"/>
      <c r="E695" s="23"/>
      <c r="F695" s="42"/>
      <c r="G695" s="42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</row>
    <row r="696">
      <c r="A696" s="18" t="s">
        <v>1390</v>
      </c>
      <c r="B696" s="19" t="s">
        <v>1391</v>
      </c>
      <c r="C696" s="5"/>
      <c r="D696" s="23"/>
      <c r="E696" s="23"/>
      <c r="F696" s="42"/>
      <c r="G696" s="42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</row>
    <row r="697">
      <c r="A697" s="22" t="s">
        <v>1392</v>
      </c>
      <c r="B697" s="14" t="s">
        <v>1393</v>
      </c>
      <c r="C697" s="5"/>
      <c r="D697" s="23"/>
      <c r="E697" s="23"/>
      <c r="F697" s="42"/>
      <c r="G697" s="42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</row>
    <row r="698">
      <c r="A698" s="18" t="s">
        <v>1394</v>
      </c>
      <c r="B698" s="33" t="s">
        <v>1395</v>
      </c>
      <c r="C698" s="5"/>
      <c r="D698" s="23"/>
      <c r="E698" s="23"/>
      <c r="F698" s="42"/>
      <c r="G698" s="42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</row>
    <row r="699">
      <c r="A699" s="13" t="s">
        <v>1396</v>
      </c>
      <c r="B699" s="26" t="s">
        <v>1397</v>
      </c>
      <c r="C699" s="5"/>
      <c r="D699" s="23"/>
      <c r="E699" s="23"/>
      <c r="F699" s="42"/>
      <c r="G699" s="42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</row>
    <row r="700">
      <c r="A700" s="25" t="s">
        <v>1398</v>
      </c>
      <c r="B700" s="19" t="s">
        <v>1399</v>
      </c>
      <c r="C700" s="5"/>
      <c r="D700" s="23"/>
      <c r="E700" s="23"/>
      <c r="F700" s="42"/>
      <c r="G700" s="42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</row>
    <row r="701">
      <c r="A701" s="22" t="s">
        <v>1400</v>
      </c>
      <c r="B701" s="14" t="s">
        <v>1401</v>
      </c>
      <c r="C701" s="5"/>
      <c r="D701" s="23"/>
      <c r="E701" s="23"/>
      <c r="F701" s="42"/>
      <c r="G701" s="42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</row>
    <row r="702">
      <c r="A702" s="18" t="s">
        <v>1402</v>
      </c>
      <c r="B702" s="19" t="s">
        <v>1403</v>
      </c>
      <c r="C702" s="5"/>
      <c r="D702" s="23"/>
      <c r="E702" s="23"/>
      <c r="F702" s="42"/>
      <c r="G702" s="42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</row>
    <row r="703">
      <c r="A703" s="13" t="s">
        <v>1404</v>
      </c>
      <c r="B703" s="14" t="s">
        <v>1405</v>
      </c>
      <c r="C703" s="5"/>
      <c r="D703" s="23"/>
      <c r="E703" s="23"/>
      <c r="F703" s="42"/>
      <c r="G703" s="42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</row>
    <row r="704">
      <c r="A704" s="18" t="s">
        <v>1406</v>
      </c>
      <c r="B704" s="19" t="s">
        <v>1407</v>
      </c>
      <c r="C704" s="5"/>
      <c r="D704" s="23"/>
      <c r="E704" s="23"/>
      <c r="F704" s="42"/>
      <c r="G704" s="42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</row>
    <row r="705">
      <c r="A705" s="13" t="s">
        <v>1408</v>
      </c>
      <c r="B705" s="26" t="s">
        <v>1409</v>
      </c>
      <c r="C705" s="5"/>
      <c r="D705" s="23"/>
      <c r="E705" s="23"/>
      <c r="F705" s="42"/>
      <c r="G705" s="42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</row>
    <row r="706">
      <c r="A706" s="25" t="s">
        <v>1410</v>
      </c>
      <c r="B706" s="19" t="s">
        <v>1411</v>
      </c>
      <c r="C706" s="5"/>
      <c r="D706" s="23"/>
      <c r="E706" s="23"/>
      <c r="F706" s="42"/>
      <c r="G706" s="42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</row>
    <row r="707">
      <c r="A707" s="13" t="s">
        <v>1412</v>
      </c>
      <c r="B707" s="14" t="s">
        <v>1413</v>
      </c>
      <c r="C707" s="5"/>
      <c r="D707" s="23"/>
      <c r="E707" s="23"/>
      <c r="F707" s="42"/>
      <c r="G707" s="42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</row>
    <row r="708">
      <c r="A708" s="18" t="s">
        <v>1414</v>
      </c>
      <c r="B708" s="19" t="s">
        <v>1415</v>
      </c>
      <c r="C708" s="5"/>
      <c r="D708" s="23"/>
      <c r="E708" s="23"/>
      <c r="F708" s="42"/>
      <c r="G708" s="42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</row>
    <row r="709">
      <c r="A709" s="13" t="s">
        <v>1416</v>
      </c>
      <c r="B709" s="14" t="s">
        <v>1417</v>
      </c>
      <c r="C709" s="5"/>
      <c r="D709" s="23"/>
      <c r="E709" s="23"/>
      <c r="F709" s="42"/>
      <c r="G709" s="42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</row>
    <row r="710">
      <c r="A710" s="25" t="s">
        <v>1418</v>
      </c>
      <c r="B710" s="19" t="s">
        <v>1419</v>
      </c>
      <c r="C710" s="43"/>
      <c r="D710" s="23"/>
      <c r="E710" s="23"/>
      <c r="F710" s="42"/>
      <c r="G710" s="42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</row>
    <row r="711">
      <c r="A711" s="22" t="s">
        <v>1420</v>
      </c>
      <c r="B711" s="14" t="s">
        <v>1421</v>
      </c>
      <c r="C711" s="5"/>
      <c r="D711" s="23"/>
      <c r="E711" s="23"/>
      <c r="F711" s="42"/>
      <c r="G711" s="42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</row>
    <row r="712">
      <c r="A712" s="18" t="s">
        <v>1422</v>
      </c>
      <c r="B712" s="33" t="s">
        <v>1423</v>
      </c>
      <c r="C712" s="5"/>
      <c r="D712" s="23"/>
      <c r="E712" s="23"/>
      <c r="F712" s="42"/>
      <c r="G712" s="42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</row>
    <row r="713">
      <c r="A713" s="44" t="s">
        <v>1424</v>
      </c>
      <c r="B713" s="45" t="s">
        <v>1425</v>
      </c>
      <c r="C713" s="5"/>
      <c r="D713" s="23"/>
      <c r="E713" s="23"/>
      <c r="F713" s="42"/>
      <c r="G713" s="42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</row>
    <row r="714">
      <c r="A714" s="18" t="s">
        <v>1426</v>
      </c>
      <c r="B714" s="33" t="s">
        <v>1427</v>
      </c>
      <c r="C714" s="5"/>
      <c r="D714" s="23"/>
      <c r="E714" s="23"/>
      <c r="F714" s="42"/>
      <c r="G714" s="42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</row>
    <row r="715">
      <c r="A715" s="22" t="s">
        <v>1428</v>
      </c>
      <c r="B715" s="14" t="s">
        <v>1429</v>
      </c>
      <c r="C715" s="5"/>
      <c r="D715" s="23"/>
      <c r="E715" s="23"/>
      <c r="F715" s="42"/>
      <c r="G715" s="42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</row>
    <row r="716">
      <c r="A716" s="25" t="s">
        <v>1430</v>
      </c>
      <c r="B716" s="19" t="s">
        <v>1431</v>
      </c>
      <c r="C716" s="5"/>
      <c r="D716" s="23"/>
      <c r="E716" s="23"/>
      <c r="F716" s="42"/>
      <c r="G716" s="42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</row>
    <row r="717">
      <c r="A717" s="22" t="s">
        <v>1432</v>
      </c>
      <c r="B717" s="14" t="s">
        <v>1433</v>
      </c>
      <c r="C717" s="5"/>
      <c r="D717" s="23"/>
      <c r="E717" s="23"/>
      <c r="F717" s="42"/>
      <c r="G717" s="42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</row>
    <row r="718">
      <c r="A718" s="25" t="s">
        <v>1434</v>
      </c>
      <c r="B718" s="19" t="s">
        <v>1435</v>
      </c>
      <c r="C718" s="5"/>
      <c r="D718" s="23"/>
      <c r="E718" s="23"/>
      <c r="F718" s="42"/>
      <c r="G718" s="42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</row>
    <row r="719">
      <c r="A719" s="22" t="s">
        <v>1436</v>
      </c>
      <c r="B719" s="14" t="s">
        <v>1437</v>
      </c>
      <c r="C719" s="5"/>
      <c r="D719" s="23"/>
      <c r="E719" s="23"/>
      <c r="F719" s="42"/>
      <c r="G719" s="42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</row>
    <row r="720">
      <c r="A720" s="25" t="s">
        <v>1438</v>
      </c>
      <c r="B720" s="19" t="s">
        <v>1439</v>
      </c>
      <c r="C720" s="5"/>
      <c r="D720" s="23"/>
      <c r="E720" s="23"/>
      <c r="F720" s="42"/>
      <c r="G720" s="42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</row>
    <row r="721">
      <c r="A721" s="13" t="s">
        <v>1440</v>
      </c>
      <c r="B721" s="14" t="s">
        <v>1441</v>
      </c>
      <c r="C721" s="5"/>
      <c r="D721" s="23"/>
      <c r="E721" s="23"/>
      <c r="F721" s="42"/>
      <c r="G721" s="42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</row>
    <row r="722">
      <c r="A722" s="25" t="s">
        <v>1442</v>
      </c>
      <c r="B722" s="19" t="s">
        <v>1443</v>
      </c>
      <c r="C722" s="5"/>
      <c r="D722" s="23"/>
      <c r="E722" s="23"/>
      <c r="F722" s="42"/>
      <c r="G722" s="42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</row>
    <row r="723">
      <c r="A723" s="13" t="s">
        <v>1444</v>
      </c>
      <c r="B723" s="14" t="s">
        <v>1445</v>
      </c>
      <c r="C723" s="5"/>
      <c r="D723" s="23"/>
      <c r="E723" s="23"/>
      <c r="F723" s="42"/>
      <c r="G723" s="42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</row>
    <row r="724">
      <c r="A724" s="25" t="s">
        <v>1446</v>
      </c>
      <c r="B724" s="19" t="s">
        <v>1447</v>
      </c>
      <c r="C724" s="5"/>
      <c r="D724" s="23"/>
      <c r="E724" s="23"/>
      <c r="F724" s="42"/>
      <c r="G724" s="42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</row>
    <row r="725">
      <c r="A725" s="13" t="s">
        <v>1448</v>
      </c>
      <c r="B725" s="14" t="s">
        <v>1449</v>
      </c>
      <c r="C725" s="5"/>
      <c r="D725" s="23"/>
      <c r="E725" s="23"/>
      <c r="F725" s="42"/>
      <c r="G725" s="42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</row>
    <row r="726">
      <c r="A726" s="18" t="s">
        <v>1450</v>
      </c>
      <c r="B726" s="19" t="s">
        <v>1451</v>
      </c>
      <c r="C726" s="5"/>
      <c r="D726" s="23"/>
      <c r="E726" s="23"/>
      <c r="F726" s="42"/>
      <c r="G726" s="42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</row>
    <row r="727">
      <c r="A727" s="13" t="s">
        <v>1452</v>
      </c>
      <c r="B727" s="26" t="s">
        <v>1453</v>
      </c>
      <c r="C727" s="5"/>
      <c r="D727" s="23"/>
      <c r="E727" s="23"/>
      <c r="F727" s="42"/>
      <c r="G727" s="42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</row>
    <row r="728">
      <c r="A728" s="9" t="s">
        <v>1454</v>
      </c>
      <c r="B728" s="10" t="s">
        <v>1455</v>
      </c>
      <c r="C728" s="5"/>
      <c r="D728" s="23"/>
      <c r="E728" s="23"/>
      <c r="F728" s="42"/>
      <c r="G728" s="42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</row>
    <row r="729">
      <c r="A729" s="22" t="s">
        <v>1456</v>
      </c>
      <c r="B729" s="14" t="s">
        <v>1457</v>
      </c>
      <c r="C729" s="5"/>
      <c r="D729" s="23"/>
      <c r="E729" s="23"/>
      <c r="F729" s="42"/>
      <c r="G729" s="42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</row>
    <row r="730">
      <c r="A730" s="18" t="s">
        <v>1458</v>
      </c>
      <c r="B730" s="19" t="s">
        <v>1459</v>
      </c>
      <c r="C730" s="5"/>
      <c r="D730" s="23"/>
      <c r="E730" s="23"/>
      <c r="F730" s="42"/>
      <c r="G730" s="42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</row>
    <row r="731">
      <c r="A731" s="13" t="s">
        <v>1460</v>
      </c>
      <c r="B731" s="14" t="s">
        <v>1461</v>
      </c>
      <c r="C731" s="5"/>
      <c r="D731" s="23"/>
      <c r="E731" s="23"/>
      <c r="F731" s="42"/>
      <c r="G731" s="42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</row>
    <row r="732">
      <c r="A732" s="18" t="s">
        <v>1462</v>
      </c>
      <c r="B732" s="33" t="s">
        <v>1463</v>
      </c>
      <c r="C732" s="5"/>
      <c r="D732" s="23"/>
      <c r="E732" s="23"/>
      <c r="F732" s="42"/>
      <c r="G732" s="42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</row>
    <row r="733">
      <c r="A733" s="22" t="s">
        <v>1464</v>
      </c>
      <c r="B733" s="14" t="s">
        <v>1465</v>
      </c>
      <c r="C733" s="5"/>
      <c r="D733" s="23"/>
      <c r="E733" s="23"/>
      <c r="F733" s="42"/>
      <c r="G733" s="42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</row>
    <row r="734">
      <c r="A734" s="18" t="s">
        <v>1466</v>
      </c>
      <c r="B734" s="19" t="s">
        <v>1467</v>
      </c>
      <c r="C734" s="5"/>
      <c r="D734" s="23"/>
      <c r="E734" s="23"/>
      <c r="F734" s="42"/>
      <c r="G734" s="42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</row>
    <row r="735">
      <c r="A735" s="44" t="s">
        <v>1468</v>
      </c>
      <c r="B735" s="45" t="s">
        <v>1469</v>
      </c>
      <c r="C735" s="5"/>
      <c r="D735" s="23"/>
      <c r="E735" s="23"/>
      <c r="F735" s="42"/>
      <c r="G735" s="42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</row>
    <row r="736">
      <c r="A736" s="18" t="s">
        <v>1470</v>
      </c>
      <c r="B736" s="19" t="s">
        <v>1471</v>
      </c>
      <c r="C736" s="5"/>
      <c r="D736" s="23"/>
      <c r="E736" s="23"/>
      <c r="F736" s="42"/>
      <c r="G736" s="42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</row>
    <row r="737">
      <c r="A737" s="22" t="s">
        <v>1472</v>
      </c>
      <c r="B737" s="14" t="s">
        <v>1473</v>
      </c>
      <c r="C737" s="5"/>
      <c r="D737" s="23"/>
      <c r="E737" s="23"/>
      <c r="F737" s="42"/>
      <c r="G737" s="42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</row>
    <row r="738">
      <c r="A738" s="18" t="s">
        <v>1474</v>
      </c>
      <c r="B738" s="19" t="s">
        <v>1475</v>
      </c>
      <c r="C738" s="5"/>
      <c r="D738" s="23"/>
      <c r="E738" s="23"/>
      <c r="F738" s="42"/>
      <c r="G738" s="42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</row>
    <row r="739">
      <c r="A739" s="13" t="s">
        <v>1476</v>
      </c>
      <c r="B739" s="14" t="s">
        <v>1477</v>
      </c>
      <c r="C739" s="5"/>
      <c r="D739" s="23"/>
      <c r="E739" s="23"/>
      <c r="F739" s="42"/>
      <c r="G739" s="42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</row>
    <row r="740">
      <c r="A740" s="18" t="s">
        <v>1478</v>
      </c>
      <c r="B740" s="19" t="s">
        <v>1479</v>
      </c>
      <c r="C740" s="5"/>
      <c r="D740" s="23"/>
      <c r="E740" s="23"/>
      <c r="F740" s="42"/>
      <c r="G740" s="42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</row>
    <row r="741">
      <c r="A741" s="13" t="s">
        <v>1480</v>
      </c>
      <c r="B741" s="14" t="s">
        <v>1481</v>
      </c>
      <c r="C741" s="5"/>
      <c r="D741" s="23"/>
      <c r="E741" s="23"/>
      <c r="F741" s="42"/>
      <c r="G741" s="42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</row>
    <row r="742">
      <c r="A742" s="25" t="s">
        <v>1482</v>
      </c>
      <c r="B742" s="19" t="s">
        <v>1483</v>
      </c>
      <c r="C742" s="5"/>
      <c r="D742" s="23"/>
      <c r="E742" s="23"/>
      <c r="F742" s="42"/>
      <c r="G742" s="42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</row>
    <row r="743">
      <c r="A743" s="22" t="s">
        <v>1484</v>
      </c>
      <c r="B743" s="14" t="s">
        <v>1485</v>
      </c>
      <c r="C743" s="5"/>
      <c r="D743" s="23"/>
      <c r="E743" s="23"/>
      <c r="F743" s="42"/>
      <c r="G743" s="42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</row>
    <row r="744">
      <c r="A744" s="18" t="s">
        <v>1486</v>
      </c>
      <c r="B744" s="19" t="s">
        <v>1487</v>
      </c>
      <c r="C744" s="5"/>
      <c r="D744" s="23"/>
      <c r="E744" s="23"/>
      <c r="F744" s="42"/>
      <c r="G744" s="42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</row>
    <row r="745">
      <c r="A745" s="13" t="s">
        <v>1488</v>
      </c>
      <c r="B745" s="14" t="s">
        <v>1489</v>
      </c>
      <c r="C745" s="5"/>
      <c r="D745" s="23"/>
      <c r="E745" s="23"/>
      <c r="F745" s="42"/>
      <c r="G745" s="42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</row>
    <row r="746">
      <c r="A746" s="18" t="s">
        <v>1490</v>
      </c>
      <c r="B746" s="19" t="s">
        <v>1491</v>
      </c>
      <c r="C746" s="5"/>
      <c r="D746" s="23"/>
      <c r="E746" s="23"/>
      <c r="F746" s="42"/>
      <c r="G746" s="42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</row>
    <row r="747">
      <c r="A747" s="13" t="s">
        <v>1492</v>
      </c>
      <c r="B747" s="14" t="s">
        <v>1493</v>
      </c>
      <c r="C747" s="5"/>
      <c r="D747" s="23"/>
      <c r="E747" s="23"/>
      <c r="F747" s="42"/>
      <c r="G747" s="42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</row>
    <row r="748">
      <c r="A748" s="18" t="s">
        <v>1494</v>
      </c>
      <c r="B748" s="19" t="s">
        <v>1495</v>
      </c>
      <c r="C748" s="5"/>
      <c r="D748" s="23"/>
      <c r="E748" s="23"/>
      <c r="F748" s="42"/>
      <c r="G748" s="42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</row>
    <row r="749">
      <c r="A749" s="13" t="s">
        <v>1496</v>
      </c>
      <c r="B749" s="14" t="s">
        <v>1497</v>
      </c>
      <c r="C749" s="5"/>
      <c r="D749" s="23"/>
      <c r="E749" s="23"/>
      <c r="F749" s="42"/>
      <c r="G749" s="42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</row>
    <row r="750">
      <c r="A750" s="25" t="s">
        <v>1498</v>
      </c>
      <c r="B750" s="19" t="s">
        <v>1499</v>
      </c>
      <c r="C750" s="5"/>
      <c r="D750" s="23"/>
      <c r="E750" s="23"/>
      <c r="F750" s="42"/>
      <c r="G750" s="42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</row>
    <row r="751">
      <c r="A751" s="22" t="s">
        <v>1500</v>
      </c>
      <c r="B751" s="14" t="s">
        <v>1501</v>
      </c>
      <c r="C751" s="5"/>
      <c r="D751" s="23"/>
      <c r="E751" s="23"/>
      <c r="F751" s="42"/>
      <c r="G751" s="42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</row>
    <row r="752">
      <c r="A752" s="18" t="s">
        <v>1502</v>
      </c>
      <c r="B752" s="19" t="s">
        <v>1503</v>
      </c>
      <c r="C752" s="5"/>
      <c r="D752" s="23"/>
      <c r="E752" s="23"/>
      <c r="F752" s="42"/>
      <c r="G752" s="42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</row>
    <row r="753">
      <c r="A753" s="22" t="s">
        <v>1504</v>
      </c>
      <c r="B753" s="14" t="s">
        <v>1505</v>
      </c>
      <c r="C753" s="5"/>
      <c r="D753" s="23"/>
      <c r="E753" s="23"/>
      <c r="F753" s="42"/>
      <c r="G753" s="42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</row>
    <row r="754">
      <c r="A754" s="18" t="s">
        <v>1506</v>
      </c>
      <c r="B754" s="19" t="s">
        <v>1507</v>
      </c>
      <c r="C754" s="5"/>
      <c r="D754" s="23"/>
      <c r="E754" s="23"/>
      <c r="F754" s="42"/>
      <c r="G754" s="42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</row>
    <row r="755">
      <c r="A755" s="13" t="s">
        <v>1508</v>
      </c>
      <c r="B755" s="14" t="s">
        <v>1509</v>
      </c>
      <c r="C755" s="43"/>
      <c r="D755" s="23"/>
      <c r="E755" s="23"/>
      <c r="F755" s="42"/>
      <c r="G755" s="42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</row>
    <row r="756">
      <c r="A756" s="18" t="s">
        <v>1510</v>
      </c>
      <c r="B756" s="19" t="s">
        <v>1511</v>
      </c>
      <c r="C756" s="5"/>
      <c r="D756" s="23"/>
      <c r="E756" s="23"/>
      <c r="F756" s="42"/>
      <c r="G756" s="42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</row>
    <row r="757">
      <c r="A757" s="13" t="s">
        <v>1512</v>
      </c>
      <c r="B757" s="26" t="s">
        <v>1513</v>
      </c>
      <c r="C757" s="5"/>
      <c r="D757" s="23"/>
      <c r="E757" s="23"/>
      <c r="F757" s="42"/>
      <c r="G757" s="42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</row>
    <row r="758">
      <c r="A758" s="18" t="s">
        <v>1514</v>
      </c>
      <c r="B758" s="19" t="s">
        <v>1515</v>
      </c>
      <c r="C758" s="5"/>
      <c r="D758" s="23"/>
      <c r="E758" s="23"/>
      <c r="F758" s="42"/>
      <c r="G758" s="42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</row>
    <row r="759">
      <c r="A759" s="13" t="s">
        <v>1516</v>
      </c>
      <c r="B759" s="14" t="s">
        <v>1517</v>
      </c>
      <c r="C759" s="5"/>
      <c r="D759" s="23"/>
      <c r="E759" s="23"/>
      <c r="F759" s="42"/>
      <c r="G759" s="42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</row>
    <row r="760">
      <c r="A760" s="18" t="s">
        <v>1518</v>
      </c>
      <c r="B760" s="19" t="s">
        <v>1519</v>
      </c>
      <c r="C760" s="5"/>
      <c r="D760" s="23"/>
      <c r="E760" s="23"/>
      <c r="F760" s="42"/>
      <c r="G760" s="42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</row>
    <row r="761">
      <c r="A761" s="13" t="s">
        <v>1520</v>
      </c>
      <c r="B761" s="14" t="s">
        <v>1521</v>
      </c>
      <c r="C761" s="5"/>
      <c r="D761" s="23"/>
      <c r="E761" s="23"/>
      <c r="F761" s="42"/>
      <c r="G761" s="42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</row>
    <row r="762">
      <c r="A762" s="25" t="s">
        <v>1522</v>
      </c>
      <c r="B762" s="19" t="s">
        <v>1523</v>
      </c>
      <c r="C762" s="5"/>
      <c r="D762" s="23"/>
      <c r="E762" s="23"/>
      <c r="F762" s="42"/>
      <c r="G762" s="42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</row>
    <row r="763">
      <c r="A763" s="13" t="s">
        <v>1524</v>
      </c>
      <c r="B763" s="26" t="s">
        <v>1525</v>
      </c>
      <c r="C763" s="5"/>
      <c r="D763" s="23"/>
      <c r="E763" s="23"/>
      <c r="F763" s="42"/>
      <c r="G763" s="42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</row>
    <row r="764">
      <c r="A764" s="18" t="s">
        <v>1526</v>
      </c>
      <c r="B764" s="33" t="s">
        <v>1527</v>
      </c>
      <c r="C764" s="5"/>
      <c r="D764" s="23"/>
      <c r="E764" s="23"/>
      <c r="F764" s="42"/>
      <c r="G764" s="42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</row>
    <row r="765">
      <c r="A765" s="44" t="s">
        <v>1528</v>
      </c>
      <c r="B765" s="45" t="s">
        <v>1529</v>
      </c>
      <c r="C765" s="5"/>
      <c r="D765" s="23"/>
      <c r="E765" s="23"/>
      <c r="F765" s="42"/>
      <c r="G765" s="42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</row>
    <row r="766">
      <c r="A766" s="18" t="s">
        <v>1530</v>
      </c>
      <c r="B766" s="19" t="s">
        <v>1531</v>
      </c>
      <c r="C766" s="5"/>
      <c r="D766" s="23"/>
      <c r="E766" s="23"/>
      <c r="F766" s="42"/>
      <c r="G766" s="42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</row>
    <row r="767">
      <c r="A767" s="22" t="s">
        <v>1532</v>
      </c>
      <c r="B767" s="14" t="s">
        <v>1533</v>
      </c>
      <c r="C767" s="5"/>
      <c r="D767" s="23"/>
      <c r="E767" s="23"/>
      <c r="F767" s="42"/>
      <c r="G767" s="42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</row>
    <row r="768">
      <c r="A768" s="18" t="s">
        <v>1534</v>
      </c>
      <c r="B768" s="19" t="s">
        <v>1535</v>
      </c>
      <c r="C768" s="5"/>
      <c r="D768" s="23"/>
      <c r="E768" s="23"/>
      <c r="F768" s="42"/>
      <c r="G768" s="42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</row>
    <row r="769">
      <c r="A769" s="13" t="s">
        <v>1536</v>
      </c>
      <c r="B769" s="14" t="s">
        <v>1537</v>
      </c>
      <c r="C769" s="5"/>
      <c r="D769" s="23"/>
      <c r="E769" s="23"/>
      <c r="F769" s="42"/>
      <c r="G769" s="42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</row>
    <row r="770">
      <c r="A770" s="25" t="s">
        <v>1538</v>
      </c>
      <c r="B770" s="19" t="s">
        <v>1539</v>
      </c>
      <c r="C770" s="5"/>
      <c r="D770" s="23"/>
      <c r="E770" s="23"/>
      <c r="F770" s="42"/>
      <c r="G770" s="42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</row>
    <row r="771">
      <c r="A771" s="13" t="s">
        <v>1540</v>
      </c>
      <c r="B771" s="14" t="s">
        <v>1541</v>
      </c>
      <c r="C771" s="5"/>
      <c r="D771" s="23"/>
      <c r="E771" s="23"/>
      <c r="F771" s="42"/>
      <c r="G771" s="42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</row>
    <row r="772">
      <c r="A772" s="18" t="s">
        <v>1542</v>
      </c>
      <c r="B772" s="19" t="s">
        <v>1543</v>
      </c>
      <c r="C772" s="5"/>
      <c r="D772" s="23"/>
      <c r="E772" s="23"/>
      <c r="F772" s="42"/>
      <c r="G772" s="42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</row>
    <row r="773">
      <c r="A773" s="22" t="s">
        <v>1544</v>
      </c>
      <c r="B773" s="14" t="s">
        <v>1545</v>
      </c>
      <c r="C773" s="43"/>
      <c r="D773" s="23"/>
      <c r="E773" s="23"/>
      <c r="F773" s="42"/>
      <c r="G773" s="42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</row>
    <row r="774">
      <c r="A774" s="25" t="s">
        <v>1546</v>
      </c>
      <c r="B774" s="19" t="s">
        <v>1547</v>
      </c>
      <c r="C774" s="5"/>
      <c r="D774" s="23"/>
      <c r="E774" s="23"/>
      <c r="F774" s="42"/>
      <c r="G774" s="42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</row>
    <row r="775">
      <c r="A775" s="13" t="s">
        <v>1548</v>
      </c>
      <c r="B775" s="14" t="s">
        <v>1549</v>
      </c>
      <c r="C775" s="5"/>
      <c r="D775" s="23"/>
      <c r="E775" s="23"/>
      <c r="F775" s="42"/>
      <c r="G775" s="42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</row>
    <row r="776">
      <c r="A776" s="25" t="s">
        <v>1550</v>
      </c>
      <c r="B776" s="19" t="s">
        <v>1551</v>
      </c>
      <c r="C776" s="5"/>
      <c r="D776" s="23"/>
      <c r="E776" s="23"/>
      <c r="F776" s="42"/>
      <c r="G776" s="42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</row>
    <row r="777">
      <c r="A777" s="22" t="s">
        <v>1552</v>
      </c>
      <c r="B777" s="14" t="s">
        <v>1553</v>
      </c>
      <c r="C777" s="5"/>
      <c r="D777" s="23"/>
      <c r="E777" s="23"/>
      <c r="F777" s="42"/>
      <c r="G777" s="42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</row>
    <row r="778">
      <c r="A778" s="18" t="s">
        <v>1554</v>
      </c>
      <c r="B778" s="19" t="s">
        <v>1555</v>
      </c>
      <c r="C778" s="5"/>
      <c r="D778" s="23"/>
      <c r="E778" s="23"/>
      <c r="F778" s="42"/>
      <c r="G778" s="42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</row>
    <row r="779">
      <c r="A779" s="22" t="s">
        <v>1556</v>
      </c>
      <c r="B779" s="14" t="s">
        <v>1557</v>
      </c>
      <c r="C779" s="5"/>
      <c r="D779" s="23"/>
      <c r="E779" s="23"/>
      <c r="F779" s="42"/>
      <c r="G779" s="42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</row>
    <row r="780">
      <c r="A780" s="18" t="s">
        <v>1558</v>
      </c>
      <c r="B780" s="19" t="s">
        <v>1559</v>
      </c>
      <c r="C780" s="5"/>
      <c r="D780" s="23"/>
      <c r="E780" s="23"/>
      <c r="F780" s="42"/>
      <c r="G780" s="42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</row>
    <row r="781">
      <c r="A781" s="22" t="s">
        <v>1560</v>
      </c>
      <c r="B781" s="14" t="s">
        <v>1561</v>
      </c>
      <c r="C781" s="5"/>
      <c r="D781" s="23"/>
      <c r="E781" s="23"/>
      <c r="F781" s="42"/>
      <c r="G781" s="42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</row>
    <row r="782">
      <c r="A782" s="18" t="s">
        <v>1562</v>
      </c>
      <c r="B782" s="19" t="s">
        <v>1563</v>
      </c>
      <c r="C782" s="5"/>
      <c r="D782" s="23"/>
      <c r="E782" s="23"/>
      <c r="F782" s="42"/>
      <c r="G782" s="42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</row>
    <row r="783">
      <c r="A783" s="22" t="s">
        <v>1564</v>
      </c>
      <c r="B783" s="14" t="s">
        <v>1565</v>
      </c>
      <c r="C783" s="5"/>
      <c r="D783" s="23"/>
      <c r="E783" s="23"/>
      <c r="F783" s="42"/>
      <c r="G783" s="42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</row>
    <row r="784">
      <c r="A784" s="25" t="s">
        <v>1566</v>
      </c>
      <c r="B784" s="19" t="s">
        <v>1567</v>
      </c>
      <c r="C784" s="5"/>
      <c r="D784" s="23"/>
      <c r="E784" s="23"/>
      <c r="F784" s="42"/>
      <c r="G784" s="42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</row>
    <row r="785">
      <c r="A785" s="22" t="s">
        <v>1568</v>
      </c>
      <c r="B785" s="14" t="s">
        <v>1569</v>
      </c>
      <c r="C785" s="5"/>
      <c r="D785" s="23"/>
      <c r="E785" s="23"/>
      <c r="F785" s="42"/>
      <c r="G785" s="42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</row>
    <row r="786">
      <c r="A786" s="25" t="s">
        <v>1570</v>
      </c>
      <c r="B786" s="19" t="s">
        <v>1571</v>
      </c>
      <c r="C786" s="5"/>
      <c r="D786" s="23"/>
      <c r="E786" s="23"/>
      <c r="F786" s="42"/>
      <c r="G786" s="42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</row>
    <row r="787">
      <c r="A787" s="22" t="s">
        <v>1572</v>
      </c>
      <c r="B787" s="14" t="s">
        <v>1573</v>
      </c>
      <c r="C787" s="5"/>
      <c r="D787" s="23"/>
      <c r="E787" s="23"/>
      <c r="F787" s="42"/>
      <c r="G787" s="42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</row>
    <row r="788">
      <c r="A788" s="18" t="s">
        <v>1574</v>
      </c>
      <c r="B788" s="19" t="s">
        <v>1575</v>
      </c>
      <c r="C788" s="5"/>
      <c r="D788" s="23"/>
      <c r="E788" s="23"/>
      <c r="F788" s="42"/>
      <c r="G788" s="42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</row>
    <row r="789">
      <c r="A789" s="22" t="s">
        <v>1576</v>
      </c>
      <c r="B789" s="14" t="s">
        <v>1577</v>
      </c>
      <c r="C789" s="5"/>
      <c r="D789" s="23"/>
      <c r="E789" s="23"/>
      <c r="F789" s="42"/>
      <c r="G789" s="42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</row>
    <row r="790">
      <c r="A790" s="25" t="s">
        <v>1578</v>
      </c>
      <c r="B790" s="19" t="s">
        <v>1579</v>
      </c>
      <c r="C790" s="5"/>
      <c r="D790" s="23"/>
      <c r="E790" s="23"/>
      <c r="F790" s="42"/>
      <c r="G790" s="42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</row>
    <row r="791">
      <c r="A791" s="13" t="s">
        <v>1580</v>
      </c>
      <c r="B791" s="26" t="s">
        <v>1581</v>
      </c>
      <c r="C791" s="5"/>
      <c r="D791" s="23"/>
      <c r="E791" s="23"/>
      <c r="F791" s="42"/>
      <c r="G791" s="42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</row>
    <row r="792">
      <c r="A792" s="25" t="s">
        <v>1582</v>
      </c>
      <c r="B792" s="19" t="s">
        <v>1583</v>
      </c>
      <c r="C792" s="5"/>
      <c r="D792" s="23"/>
      <c r="E792" s="23"/>
      <c r="F792" s="42"/>
      <c r="G792" s="42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</row>
    <row r="793">
      <c r="A793" s="22" t="s">
        <v>1584</v>
      </c>
      <c r="B793" s="14" t="s">
        <v>1585</v>
      </c>
      <c r="C793" s="5"/>
      <c r="D793" s="23"/>
      <c r="E793" s="23"/>
      <c r="F793" s="42"/>
      <c r="G793" s="42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</row>
    <row r="794">
      <c r="A794" s="18" t="s">
        <v>1586</v>
      </c>
      <c r="B794" s="19" t="s">
        <v>1587</v>
      </c>
      <c r="C794" s="5"/>
      <c r="D794" s="23"/>
      <c r="E794" s="23"/>
      <c r="F794" s="42"/>
      <c r="G794" s="42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</row>
    <row r="795">
      <c r="A795" s="22" t="s">
        <v>1588</v>
      </c>
      <c r="B795" s="14" t="s">
        <v>1589</v>
      </c>
      <c r="C795" s="5"/>
      <c r="D795" s="23"/>
      <c r="E795" s="23"/>
      <c r="F795" s="42"/>
      <c r="G795" s="42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</row>
    <row r="796">
      <c r="A796" s="9" t="s">
        <v>1590</v>
      </c>
      <c r="B796" s="10" t="s">
        <v>1591</v>
      </c>
      <c r="C796" s="5"/>
      <c r="D796" s="23"/>
      <c r="E796" s="23"/>
      <c r="F796" s="42"/>
      <c r="G796" s="42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</row>
    <row r="797">
      <c r="A797" s="13" t="s">
        <v>1592</v>
      </c>
      <c r="B797" s="14" t="s">
        <v>1593</v>
      </c>
      <c r="C797" s="5"/>
      <c r="D797" s="23"/>
      <c r="E797" s="23"/>
      <c r="F797" s="42"/>
      <c r="G797" s="42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</row>
    <row r="798">
      <c r="A798" s="25" t="s">
        <v>1594</v>
      </c>
      <c r="B798" s="19" t="s">
        <v>1595</v>
      </c>
      <c r="C798" s="5"/>
      <c r="D798" s="23"/>
      <c r="E798" s="23"/>
      <c r="F798" s="42"/>
      <c r="G798" s="42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</row>
    <row r="799">
      <c r="A799" s="22" t="s">
        <v>1596</v>
      </c>
      <c r="B799" s="14" t="s">
        <v>1597</v>
      </c>
      <c r="C799" s="5"/>
      <c r="D799" s="23"/>
      <c r="E799" s="23"/>
      <c r="F799" s="42"/>
      <c r="G799" s="42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</row>
    <row r="800">
      <c r="A800" s="18" t="s">
        <v>1598</v>
      </c>
      <c r="B800" s="19" t="s">
        <v>1599</v>
      </c>
      <c r="C800" s="43"/>
      <c r="D800" s="23"/>
      <c r="E800" s="23"/>
      <c r="F800" s="42"/>
      <c r="G800" s="42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</row>
    <row r="801">
      <c r="A801" s="13" t="s">
        <v>1600</v>
      </c>
      <c r="B801" s="26" t="s">
        <v>1601</v>
      </c>
      <c r="C801" s="5"/>
      <c r="D801" s="23"/>
      <c r="E801" s="23"/>
      <c r="F801" s="42"/>
      <c r="G801" s="42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</row>
    <row r="802">
      <c r="A802" s="25" t="s">
        <v>1602</v>
      </c>
      <c r="B802" s="19" t="s">
        <v>1603</v>
      </c>
      <c r="C802" s="5"/>
      <c r="D802" s="23"/>
      <c r="E802" s="23"/>
      <c r="F802" s="42"/>
      <c r="G802" s="42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</row>
    <row r="803">
      <c r="A803" s="13" t="s">
        <v>1604</v>
      </c>
      <c r="B803" s="14" t="s">
        <v>1605</v>
      </c>
      <c r="C803" s="5"/>
      <c r="D803" s="23"/>
      <c r="E803" s="23"/>
      <c r="F803" s="42"/>
      <c r="G803" s="42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</row>
    <row r="804">
      <c r="A804" s="25" t="s">
        <v>1606</v>
      </c>
      <c r="B804" s="19" t="s">
        <v>1607</v>
      </c>
      <c r="C804" s="5"/>
      <c r="D804" s="23"/>
      <c r="E804" s="23"/>
      <c r="F804" s="42"/>
      <c r="G804" s="42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</row>
    <row r="805">
      <c r="A805" s="13" t="s">
        <v>1608</v>
      </c>
      <c r="B805" s="14" t="s">
        <v>1609</v>
      </c>
      <c r="C805" s="5"/>
      <c r="D805" s="23"/>
      <c r="E805" s="23"/>
      <c r="F805" s="42"/>
      <c r="G805" s="42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</row>
    <row r="806">
      <c r="A806" s="25" t="s">
        <v>1610</v>
      </c>
      <c r="B806" s="19" t="s">
        <v>1611</v>
      </c>
      <c r="C806" s="5"/>
      <c r="D806" s="23"/>
      <c r="E806" s="23"/>
      <c r="F806" s="42"/>
      <c r="G806" s="42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</row>
    <row r="807">
      <c r="A807" s="13" t="s">
        <v>1612</v>
      </c>
      <c r="B807" s="14" t="s">
        <v>1613</v>
      </c>
      <c r="C807" s="5"/>
      <c r="D807" s="23"/>
      <c r="E807" s="23"/>
      <c r="F807" s="42"/>
      <c r="G807" s="42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</row>
    <row r="808">
      <c r="A808" s="25" t="s">
        <v>1614</v>
      </c>
      <c r="B808" s="19" t="s">
        <v>1615</v>
      </c>
      <c r="C808" s="5"/>
      <c r="D808" s="23"/>
      <c r="E808" s="23"/>
      <c r="F808" s="42"/>
      <c r="G808" s="42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</row>
    <row r="809">
      <c r="A809" s="22" t="s">
        <v>1616</v>
      </c>
      <c r="B809" s="14" t="s">
        <v>1617</v>
      </c>
      <c r="C809" s="5"/>
      <c r="D809" s="23"/>
      <c r="E809" s="23"/>
      <c r="F809" s="42"/>
      <c r="G809" s="42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</row>
    <row r="810">
      <c r="A810" s="18" t="s">
        <v>1618</v>
      </c>
      <c r="B810" s="19" t="s">
        <v>1619</v>
      </c>
      <c r="C810" s="5"/>
      <c r="D810" s="23"/>
      <c r="E810" s="23"/>
      <c r="F810" s="42"/>
      <c r="G810" s="42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</row>
    <row r="811">
      <c r="A811" s="13" t="s">
        <v>1620</v>
      </c>
      <c r="B811" s="14" t="s">
        <v>1621</v>
      </c>
      <c r="C811" s="5"/>
      <c r="D811" s="23"/>
      <c r="E811" s="23"/>
      <c r="F811" s="42"/>
      <c r="G811" s="42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</row>
    <row r="812">
      <c r="A812" s="18" t="s">
        <v>1622</v>
      </c>
      <c r="B812" s="19" t="s">
        <v>1623</v>
      </c>
      <c r="C812" s="5"/>
      <c r="D812" s="23"/>
      <c r="E812" s="23"/>
      <c r="F812" s="42"/>
      <c r="G812" s="42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</row>
    <row r="813">
      <c r="A813" s="13" t="s">
        <v>1624</v>
      </c>
      <c r="B813" s="14" t="s">
        <v>1625</v>
      </c>
      <c r="C813" s="5"/>
      <c r="D813" s="23"/>
      <c r="E813" s="23"/>
      <c r="F813" s="42"/>
      <c r="G813" s="42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</row>
    <row r="814">
      <c r="A814" s="18" t="s">
        <v>1626</v>
      </c>
      <c r="B814" s="33" t="s">
        <v>1627</v>
      </c>
      <c r="C814" s="5"/>
      <c r="D814" s="23"/>
      <c r="E814" s="23"/>
      <c r="F814" s="42"/>
      <c r="G814" s="42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</row>
    <row r="815">
      <c r="A815" s="22" t="s">
        <v>1628</v>
      </c>
      <c r="B815" s="14" t="s">
        <v>1629</v>
      </c>
      <c r="C815" s="23"/>
      <c r="D815" s="23"/>
      <c r="E815" s="23"/>
      <c r="F815" s="42"/>
      <c r="G815" s="42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</row>
    <row r="816">
      <c r="A816" s="18" t="s">
        <v>1630</v>
      </c>
      <c r="B816" s="19" t="s">
        <v>1631</v>
      </c>
      <c r="C816" s="23"/>
      <c r="D816" s="23"/>
      <c r="E816" s="23"/>
      <c r="F816" s="42"/>
      <c r="G816" s="42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</row>
    <row r="817">
      <c r="A817" s="13" t="s">
        <v>1632</v>
      </c>
      <c r="B817" s="26" t="s">
        <v>1633</v>
      </c>
      <c r="C817" s="23"/>
      <c r="D817" s="23"/>
      <c r="E817" s="23"/>
      <c r="F817" s="42"/>
      <c r="G817" s="42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</row>
    <row r="818">
      <c r="A818" s="25" t="s">
        <v>1634</v>
      </c>
      <c r="B818" s="19" t="s">
        <v>1635</v>
      </c>
      <c r="C818" s="23"/>
      <c r="D818" s="23"/>
      <c r="E818" s="23"/>
      <c r="F818" s="42"/>
      <c r="G818" s="42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</row>
    <row r="819">
      <c r="A819" s="44" t="s">
        <v>1636</v>
      </c>
      <c r="B819" s="45" t="s">
        <v>1637</v>
      </c>
      <c r="C819" s="23"/>
      <c r="D819" s="23"/>
      <c r="E819" s="23"/>
      <c r="F819" s="42"/>
      <c r="G819" s="42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</row>
    <row r="820">
      <c r="A820" s="25" t="s">
        <v>1638</v>
      </c>
      <c r="B820" s="19" t="s">
        <v>1639</v>
      </c>
      <c r="C820" s="23"/>
      <c r="D820" s="23"/>
      <c r="E820" s="23"/>
      <c r="F820" s="42"/>
      <c r="G820" s="42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</row>
    <row r="821">
      <c r="A821" s="13" t="s">
        <v>1640</v>
      </c>
      <c r="B821" s="14" t="s">
        <v>1641</v>
      </c>
      <c r="C821" s="23"/>
      <c r="D821" s="23"/>
      <c r="E821" s="23"/>
      <c r="F821" s="42"/>
      <c r="G821" s="42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</row>
    <row r="822">
      <c r="A822" s="18" t="s">
        <v>1642</v>
      </c>
      <c r="B822" s="19" t="s">
        <v>1643</v>
      </c>
      <c r="C822" s="23"/>
      <c r="D822" s="23"/>
      <c r="E822" s="23"/>
      <c r="F822" s="42"/>
      <c r="G822" s="42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</row>
    <row r="823">
      <c r="A823" s="13" t="s">
        <v>1644</v>
      </c>
      <c r="B823" s="26" t="s">
        <v>1645</v>
      </c>
      <c r="C823" s="23"/>
      <c r="D823" s="23"/>
      <c r="E823" s="23"/>
      <c r="F823" s="42"/>
      <c r="G823" s="42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</row>
    <row r="824">
      <c r="A824" s="18" t="s">
        <v>1646</v>
      </c>
      <c r="B824" s="19" t="s">
        <v>1647</v>
      </c>
      <c r="C824" s="23"/>
      <c r="D824" s="23"/>
      <c r="E824" s="23"/>
      <c r="F824" s="42"/>
      <c r="G824" s="42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</row>
    <row r="825">
      <c r="A825" s="22" t="s">
        <v>1648</v>
      </c>
      <c r="B825" s="14" t="s">
        <v>1649</v>
      </c>
      <c r="C825" s="23"/>
      <c r="D825" s="23"/>
      <c r="E825" s="23"/>
      <c r="F825" s="42"/>
      <c r="G825" s="42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</row>
    <row r="826">
      <c r="A826" s="18" t="s">
        <v>1650</v>
      </c>
      <c r="B826" s="19" t="s">
        <v>1651</v>
      </c>
      <c r="C826" s="23"/>
      <c r="D826" s="23"/>
      <c r="E826" s="23"/>
      <c r="F826" s="42"/>
      <c r="G826" s="42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</row>
    <row r="827">
      <c r="A827" s="13" t="s">
        <v>1652</v>
      </c>
      <c r="B827" s="26" t="s">
        <v>1653</v>
      </c>
      <c r="C827" s="23"/>
      <c r="D827" s="23"/>
      <c r="E827" s="23"/>
      <c r="F827" s="42"/>
      <c r="G827" s="42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</row>
    <row r="828">
      <c r="A828" s="18" t="s">
        <v>1654</v>
      </c>
      <c r="B828" s="19" t="s">
        <v>1655</v>
      </c>
      <c r="C828" s="23"/>
      <c r="D828" s="23"/>
      <c r="E828" s="23"/>
      <c r="F828" s="42"/>
      <c r="G828" s="42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</row>
    <row r="829">
      <c r="A829" s="13" t="s">
        <v>1656</v>
      </c>
      <c r="B829" s="14" t="s">
        <v>1657</v>
      </c>
      <c r="C829" s="23"/>
      <c r="D829" s="23"/>
      <c r="E829" s="23"/>
      <c r="F829" s="42"/>
      <c r="G829" s="42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</row>
    <row r="830">
      <c r="A830" s="18" t="s">
        <v>1658</v>
      </c>
      <c r="B830" s="19" t="s">
        <v>1659</v>
      </c>
      <c r="C830" s="23"/>
      <c r="D830" s="23"/>
      <c r="E830" s="23"/>
      <c r="F830" s="42"/>
      <c r="G830" s="42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</row>
    <row r="831">
      <c r="A831" s="13" t="s">
        <v>1660</v>
      </c>
      <c r="B831" s="14" t="s">
        <v>1661</v>
      </c>
      <c r="C831" s="23"/>
      <c r="D831" s="23"/>
      <c r="E831" s="23"/>
      <c r="F831" s="42"/>
      <c r="G831" s="42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</row>
    <row r="832">
      <c r="A832" s="25" t="s">
        <v>1662</v>
      </c>
      <c r="B832" s="19" t="s">
        <v>1663</v>
      </c>
      <c r="C832" s="23"/>
      <c r="D832" s="23"/>
      <c r="E832" s="23"/>
      <c r="F832" s="42"/>
      <c r="G832" s="42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</row>
    <row r="833">
      <c r="A833" s="22" t="s">
        <v>1664</v>
      </c>
      <c r="B833" s="14" t="s">
        <v>1665</v>
      </c>
      <c r="C833" s="23"/>
      <c r="D833" s="23"/>
      <c r="E833" s="23"/>
      <c r="F833" s="42"/>
      <c r="G833" s="42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</row>
    <row r="834">
      <c r="A834" s="25" t="s">
        <v>1666</v>
      </c>
      <c r="B834" s="19" t="s">
        <v>1667</v>
      </c>
      <c r="C834" s="23"/>
      <c r="D834" s="23"/>
      <c r="E834" s="23"/>
      <c r="F834" s="42"/>
      <c r="G834" s="42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</row>
    <row r="835">
      <c r="A835" s="13" t="s">
        <v>1668</v>
      </c>
      <c r="B835" s="14" t="s">
        <v>1669</v>
      </c>
      <c r="C835" s="23"/>
      <c r="D835" s="23"/>
      <c r="E835" s="23"/>
      <c r="F835" s="42"/>
      <c r="G835" s="42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</row>
    <row r="836">
      <c r="A836" s="25" t="s">
        <v>1670</v>
      </c>
      <c r="B836" s="19" t="s">
        <v>1671</v>
      </c>
      <c r="C836" s="23"/>
      <c r="D836" s="23"/>
      <c r="E836" s="23"/>
      <c r="F836" s="42"/>
      <c r="G836" s="42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</row>
    <row r="837">
      <c r="A837" s="13" t="s">
        <v>1672</v>
      </c>
      <c r="B837" s="14" t="s">
        <v>1673</v>
      </c>
      <c r="C837" s="23"/>
      <c r="D837" s="23"/>
      <c r="E837" s="23"/>
      <c r="F837" s="42"/>
      <c r="G837" s="42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</row>
    <row r="838">
      <c r="A838" s="25" t="s">
        <v>1674</v>
      </c>
      <c r="B838" s="19" t="s">
        <v>1675</v>
      </c>
      <c r="C838" s="23"/>
      <c r="D838" s="23"/>
      <c r="E838" s="23"/>
      <c r="F838" s="42"/>
      <c r="G838" s="42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</row>
    <row r="839">
      <c r="A839" s="22" t="s">
        <v>1676</v>
      </c>
      <c r="B839" s="14" t="s">
        <v>1677</v>
      </c>
      <c r="C839" s="23"/>
      <c r="D839" s="23"/>
      <c r="E839" s="23"/>
      <c r="F839" s="42"/>
      <c r="G839" s="42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</row>
    <row r="840">
      <c r="A840" s="9" t="s">
        <v>1678</v>
      </c>
      <c r="B840" s="10" t="s">
        <v>1679</v>
      </c>
      <c r="C840" s="23"/>
      <c r="D840" s="23"/>
      <c r="E840" s="23"/>
      <c r="F840" s="42"/>
      <c r="G840" s="42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</row>
    <row r="841">
      <c r="A841" s="13" t="s">
        <v>1680</v>
      </c>
      <c r="B841" s="14" t="s">
        <v>1681</v>
      </c>
      <c r="C841" s="23"/>
      <c r="D841" s="23"/>
      <c r="E841" s="23"/>
      <c r="F841" s="42"/>
      <c r="G841" s="42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</row>
    <row r="842">
      <c r="A842" s="25" t="s">
        <v>1682</v>
      </c>
      <c r="B842" s="19" t="s">
        <v>1683</v>
      </c>
      <c r="C842" s="23"/>
      <c r="D842" s="23"/>
      <c r="E842" s="23"/>
      <c r="F842" s="42"/>
      <c r="G842" s="42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</row>
    <row r="843">
      <c r="A843" s="22" t="s">
        <v>1684</v>
      </c>
      <c r="B843" s="14" t="s">
        <v>1685</v>
      </c>
      <c r="C843" s="23"/>
      <c r="D843" s="23"/>
      <c r="E843" s="23"/>
      <c r="F843" s="42"/>
      <c r="G843" s="42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</row>
    <row r="844">
      <c r="A844" s="25" t="s">
        <v>1686</v>
      </c>
      <c r="B844" s="19" t="s">
        <v>1687</v>
      </c>
      <c r="C844" s="23"/>
      <c r="D844" s="23"/>
      <c r="E844" s="23"/>
      <c r="F844" s="42"/>
      <c r="G844" s="42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</row>
    <row r="845">
      <c r="A845" s="44" t="s">
        <v>1688</v>
      </c>
      <c r="B845" s="45" t="s">
        <v>1689</v>
      </c>
      <c r="C845" s="23"/>
      <c r="D845" s="23"/>
      <c r="E845" s="23"/>
      <c r="F845" s="42"/>
      <c r="G845" s="42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</row>
    <row r="846">
      <c r="A846" s="18" t="s">
        <v>1690</v>
      </c>
      <c r="B846" s="19" t="s">
        <v>1691</v>
      </c>
      <c r="C846" s="23"/>
      <c r="D846" s="23"/>
      <c r="E846" s="23"/>
      <c r="F846" s="42"/>
      <c r="G846" s="42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</row>
    <row r="847">
      <c r="A847" s="13" t="s">
        <v>1692</v>
      </c>
      <c r="B847" s="14" t="s">
        <v>1693</v>
      </c>
      <c r="C847" s="23"/>
      <c r="D847" s="23"/>
      <c r="E847" s="23"/>
      <c r="F847" s="42"/>
      <c r="G847" s="42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</row>
    <row r="848">
      <c r="A848" s="18" t="s">
        <v>1694</v>
      </c>
      <c r="B848" s="19" t="s">
        <v>1695</v>
      </c>
      <c r="C848" s="23"/>
      <c r="D848" s="23"/>
      <c r="E848" s="23"/>
      <c r="F848" s="42"/>
      <c r="G848" s="42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</row>
    <row r="849">
      <c r="A849" s="22" t="s">
        <v>1696</v>
      </c>
      <c r="B849" s="14" t="s">
        <v>1697</v>
      </c>
      <c r="C849" s="23"/>
      <c r="D849" s="23"/>
      <c r="E849" s="23"/>
      <c r="F849" s="42"/>
      <c r="G849" s="42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</row>
    <row r="850">
      <c r="A850" s="25" t="s">
        <v>1698</v>
      </c>
      <c r="B850" s="19" t="s">
        <v>1699</v>
      </c>
      <c r="C850" s="23"/>
      <c r="D850" s="23"/>
      <c r="E850" s="23"/>
      <c r="F850" s="42"/>
      <c r="G850" s="42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</row>
    <row r="851">
      <c r="A851" s="22" t="s">
        <v>1700</v>
      </c>
      <c r="B851" s="14" t="s">
        <v>1701</v>
      </c>
      <c r="C851" s="23"/>
      <c r="D851" s="23"/>
      <c r="E851" s="23"/>
      <c r="F851" s="42"/>
      <c r="G851" s="42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</row>
    <row r="852">
      <c r="A852" s="25" t="s">
        <v>1702</v>
      </c>
      <c r="B852" s="19" t="s">
        <v>1703</v>
      </c>
      <c r="C852" s="23"/>
      <c r="D852" s="23"/>
      <c r="E852" s="23"/>
      <c r="F852" s="42"/>
      <c r="G852" s="42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</row>
    <row r="853">
      <c r="A853" s="13" t="s">
        <v>1704</v>
      </c>
      <c r="B853" s="14" t="s">
        <v>1705</v>
      </c>
      <c r="C853" s="23"/>
      <c r="D853" s="23"/>
      <c r="E853" s="23"/>
      <c r="F853" s="42"/>
      <c r="G853" s="42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</row>
    <row r="854">
      <c r="A854" s="18" t="s">
        <v>1706</v>
      </c>
      <c r="B854" s="19" t="s">
        <v>1707</v>
      </c>
      <c r="C854" s="23"/>
      <c r="D854" s="23"/>
      <c r="E854" s="23"/>
      <c r="F854" s="42"/>
      <c r="G854" s="42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</row>
    <row r="855">
      <c r="A855" s="22" t="s">
        <v>1708</v>
      </c>
      <c r="B855" s="14" t="s">
        <v>1709</v>
      </c>
      <c r="C855" s="23"/>
      <c r="D855" s="23"/>
      <c r="E855" s="23"/>
      <c r="F855" s="42"/>
      <c r="G855" s="42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</row>
    <row r="856">
      <c r="A856" s="18" t="s">
        <v>1710</v>
      </c>
      <c r="B856" s="19" t="s">
        <v>1711</v>
      </c>
      <c r="C856" s="23"/>
      <c r="D856" s="23"/>
      <c r="E856" s="23"/>
      <c r="F856" s="42"/>
      <c r="G856" s="42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</row>
    <row r="857">
      <c r="A857" s="13" t="s">
        <v>1712</v>
      </c>
      <c r="B857" s="14" t="s">
        <v>1713</v>
      </c>
      <c r="C857" s="23"/>
      <c r="D857" s="23"/>
      <c r="E857" s="23"/>
      <c r="F857" s="42"/>
      <c r="G857" s="42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</row>
    <row r="858">
      <c r="A858" s="18" t="s">
        <v>1714</v>
      </c>
      <c r="B858" s="19" t="s">
        <v>1715</v>
      </c>
      <c r="C858" s="23"/>
      <c r="D858" s="23"/>
      <c r="E858" s="23"/>
      <c r="F858" s="42"/>
      <c r="G858" s="42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</row>
    <row r="859">
      <c r="A859" s="13" t="s">
        <v>1716</v>
      </c>
      <c r="B859" s="14" t="s">
        <v>1717</v>
      </c>
      <c r="C859" s="23"/>
      <c r="D859" s="23"/>
      <c r="E859" s="23"/>
      <c r="F859" s="42"/>
      <c r="G859" s="42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</row>
    <row r="860">
      <c r="A860" s="18" t="s">
        <v>1718</v>
      </c>
      <c r="B860" s="19" t="s">
        <v>1719</v>
      </c>
      <c r="C860" s="23"/>
      <c r="D860" s="23"/>
      <c r="E860" s="23"/>
      <c r="F860" s="42"/>
      <c r="G860" s="42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</row>
    <row r="861">
      <c r="A861" s="22" t="s">
        <v>1720</v>
      </c>
      <c r="B861" s="14" t="s">
        <v>1721</v>
      </c>
      <c r="C861" s="23"/>
      <c r="D861" s="23"/>
      <c r="E861" s="23"/>
      <c r="F861" s="42"/>
      <c r="G861" s="42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</row>
    <row r="862">
      <c r="A862" s="25" t="s">
        <v>1722</v>
      </c>
      <c r="B862" s="19" t="s">
        <v>1723</v>
      </c>
      <c r="C862" s="23"/>
      <c r="D862" s="23"/>
      <c r="E862" s="23"/>
      <c r="F862" s="42"/>
      <c r="G862" s="42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</row>
    <row r="863">
      <c r="A863" s="13" t="s">
        <v>1724</v>
      </c>
      <c r="B863" s="14" t="s">
        <v>1725</v>
      </c>
      <c r="C863" s="23"/>
      <c r="D863" s="23"/>
      <c r="E863" s="23"/>
      <c r="F863" s="42"/>
      <c r="G863" s="42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</row>
    <row r="864">
      <c r="A864" s="18" t="s">
        <v>1726</v>
      </c>
      <c r="B864" s="19" t="s">
        <v>1727</v>
      </c>
      <c r="C864" s="23"/>
      <c r="D864" s="23"/>
      <c r="E864" s="23"/>
      <c r="F864" s="42"/>
      <c r="G864" s="42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</row>
    <row r="865">
      <c r="A865" s="22" t="s">
        <v>1728</v>
      </c>
      <c r="B865" s="14" t="s">
        <v>1729</v>
      </c>
      <c r="C865" s="23"/>
      <c r="D865" s="23"/>
      <c r="E865" s="23"/>
      <c r="F865" s="42"/>
      <c r="G865" s="42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</row>
    <row r="866">
      <c r="A866" s="25" t="s">
        <v>1730</v>
      </c>
      <c r="B866" s="19" t="s">
        <v>1731</v>
      </c>
      <c r="C866" s="23"/>
      <c r="D866" s="23"/>
      <c r="E866" s="23"/>
      <c r="F866" s="42"/>
      <c r="G866" s="42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</row>
    <row r="867">
      <c r="A867" s="22" t="s">
        <v>1732</v>
      </c>
      <c r="B867" s="14" t="s">
        <v>1733</v>
      </c>
      <c r="C867" s="23"/>
      <c r="D867" s="23"/>
      <c r="E867" s="23"/>
      <c r="F867" s="42"/>
      <c r="G867" s="42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</row>
    <row r="868">
      <c r="A868" s="18" t="s">
        <v>1734</v>
      </c>
      <c r="B868" s="33" t="s">
        <v>1735</v>
      </c>
      <c r="C868" s="23"/>
      <c r="D868" s="23"/>
      <c r="E868" s="23"/>
      <c r="F868" s="42"/>
      <c r="G868" s="42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</row>
    <row r="869">
      <c r="A869" s="22" t="s">
        <v>1736</v>
      </c>
      <c r="B869" s="14" t="s">
        <v>1737</v>
      </c>
      <c r="C869" s="23"/>
      <c r="D869" s="23"/>
      <c r="E869" s="23"/>
      <c r="F869" s="42"/>
      <c r="G869" s="42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</row>
    <row r="870">
      <c r="A870" s="25" t="s">
        <v>1738</v>
      </c>
      <c r="B870" s="19" t="s">
        <v>1739</v>
      </c>
      <c r="C870" s="23"/>
      <c r="D870" s="23"/>
      <c r="E870" s="23"/>
      <c r="F870" s="42"/>
      <c r="G870" s="42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</row>
    <row r="871">
      <c r="A871" s="13" t="s">
        <v>1740</v>
      </c>
      <c r="B871" s="14" t="s">
        <v>1741</v>
      </c>
      <c r="C871" s="23"/>
      <c r="D871" s="23"/>
      <c r="E871" s="23"/>
      <c r="F871" s="42"/>
      <c r="G871" s="42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</row>
    <row r="872">
      <c r="A872" s="25" t="s">
        <v>1742</v>
      </c>
      <c r="B872" s="19" t="s">
        <v>1743</v>
      </c>
      <c r="C872" s="23"/>
      <c r="D872" s="23"/>
      <c r="E872" s="23"/>
      <c r="F872" s="42"/>
      <c r="G872" s="42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</row>
    <row r="873">
      <c r="A873" s="13" t="s">
        <v>1744</v>
      </c>
      <c r="B873" s="14" t="s">
        <v>1745</v>
      </c>
      <c r="C873" s="23"/>
      <c r="D873" s="23"/>
      <c r="E873" s="23"/>
      <c r="F873" s="42"/>
      <c r="G873" s="42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</row>
    <row r="874">
      <c r="A874" s="18" t="s">
        <v>1746</v>
      </c>
      <c r="B874" s="19" t="s">
        <v>1747</v>
      </c>
      <c r="C874" s="23"/>
      <c r="D874" s="23"/>
      <c r="E874" s="23"/>
      <c r="F874" s="42"/>
      <c r="G874" s="42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</row>
    <row r="875">
      <c r="A875" s="13" t="s">
        <v>1748</v>
      </c>
      <c r="B875" s="14" t="s">
        <v>1749</v>
      </c>
      <c r="C875" s="5"/>
      <c r="D875" s="23"/>
      <c r="E875" s="23"/>
      <c r="F875" s="42"/>
      <c r="G875" s="42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</row>
    <row r="876">
      <c r="A876" s="25" t="s">
        <v>1750</v>
      </c>
      <c r="B876" s="19" t="s">
        <v>1751</v>
      </c>
      <c r="C876" s="23"/>
      <c r="D876" s="23"/>
      <c r="E876" s="23"/>
      <c r="F876" s="42"/>
      <c r="G876" s="42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</row>
    <row r="877">
      <c r="A877" s="13" t="s">
        <v>1752</v>
      </c>
      <c r="B877" s="14" t="s">
        <v>1753</v>
      </c>
      <c r="C877" s="23"/>
      <c r="D877" s="23"/>
      <c r="E877" s="23"/>
      <c r="F877" s="42"/>
      <c r="G877" s="42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</row>
    <row r="878">
      <c r="A878" s="25" t="s">
        <v>1754</v>
      </c>
      <c r="B878" s="19" t="s">
        <v>1755</v>
      </c>
      <c r="C878" s="23"/>
      <c r="D878" s="23"/>
      <c r="E878" s="23"/>
      <c r="F878" s="42"/>
      <c r="G878" s="42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</row>
    <row r="879">
      <c r="A879" s="13" t="s">
        <v>1756</v>
      </c>
      <c r="B879" s="26" t="s">
        <v>1757</v>
      </c>
      <c r="C879" s="23"/>
      <c r="D879" s="23"/>
      <c r="E879" s="23"/>
      <c r="F879" s="42"/>
      <c r="G879" s="42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</row>
    <row r="880">
      <c r="A880" s="18" t="s">
        <v>1758</v>
      </c>
      <c r="B880" s="19" t="s">
        <v>1759</v>
      </c>
      <c r="C880" s="23"/>
      <c r="D880" s="23"/>
      <c r="E880" s="23"/>
      <c r="F880" s="42"/>
      <c r="G880" s="42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</row>
    <row r="881">
      <c r="A881" s="22" t="s">
        <v>1760</v>
      </c>
      <c r="B881" s="26" t="s">
        <v>1761</v>
      </c>
      <c r="C881" s="23"/>
      <c r="D881" s="23"/>
      <c r="E881" s="23"/>
      <c r="F881" s="42"/>
      <c r="G881" s="42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</row>
    <row r="882">
      <c r="A882" s="18" t="s">
        <v>1762</v>
      </c>
      <c r="B882" s="19" t="s">
        <v>1763</v>
      </c>
      <c r="C882" s="23"/>
      <c r="D882" s="23"/>
      <c r="E882" s="23"/>
      <c r="F882" s="42"/>
      <c r="G882" s="42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</row>
    <row r="883">
      <c r="A883" s="22" t="s">
        <v>1764</v>
      </c>
      <c r="B883" s="14" t="s">
        <v>1765</v>
      </c>
      <c r="C883" s="23"/>
      <c r="D883" s="23"/>
      <c r="E883" s="23"/>
      <c r="F883" s="42"/>
      <c r="G883" s="42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</row>
    <row r="884">
      <c r="A884" s="18" t="s">
        <v>1766</v>
      </c>
      <c r="B884" s="19" t="s">
        <v>1767</v>
      </c>
      <c r="C884" s="23"/>
      <c r="D884" s="23"/>
      <c r="E884" s="23"/>
      <c r="F884" s="42"/>
      <c r="G884" s="42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</row>
    <row r="885">
      <c r="A885" s="22" t="s">
        <v>1768</v>
      </c>
      <c r="B885" s="14" t="s">
        <v>1769</v>
      </c>
      <c r="C885" s="23"/>
      <c r="D885" s="23"/>
      <c r="E885" s="23"/>
      <c r="F885" s="42"/>
      <c r="G885" s="42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</row>
    <row r="886">
      <c r="A886" s="18" t="s">
        <v>1770</v>
      </c>
      <c r="B886" s="33" t="s">
        <v>1771</v>
      </c>
      <c r="C886" s="23"/>
      <c r="D886" s="23"/>
      <c r="E886" s="23"/>
      <c r="F886" s="42"/>
      <c r="G886" s="42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</row>
    <row r="887">
      <c r="A887" s="13" t="s">
        <v>1772</v>
      </c>
      <c r="B887" s="14" t="s">
        <v>1773</v>
      </c>
      <c r="C887" s="23"/>
      <c r="D887" s="23"/>
      <c r="E887" s="23"/>
      <c r="F887" s="42"/>
      <c r="G887" s="42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</row>
    <row r="888">
      <c r="A888" s="18" t="s">
        <v>1774</v>
      </c>
      <c r="B888" s="19" t="s">
        <v>1775</v>
      </c>
      <c r="C888" s="23"/>
      <c r="D888" s="23"/>
      <c r="E888" s="23"/>
      <c r="F888" s="42"/>
      <c r="G888" s="42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</row>
    <row r="889">
      <c r="A889" s="22" t="s">
        <v>1776</v>
      </c>
      <c r="B889" s="14" t="s">
        <v>1777</v>
      </c>
      <c r="C889" s="23"/>
      <c r="D889" s="23"/>
      <c r="E889" s="23"/>
      <c r="F889" s="42"/>
      <c r="G889" s="42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</row>
    <row r="890">
      <c r="A890" s="25" t="s">
        <v>1778</v>
      </c>
      <c r="B890" s="19" t="s">
        <v>1779</v>
      </c>
      <c r="C890" s="23"/>
      <c r="D890" s="23"/>
      <c r="E890" s="23"/>
      <c r="F890" s="42"/>
      <c r="G890" s="42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</row>
    <row r="891">
      <c r="A891" s="22" t="s">
        <v>1780</v>
      </c>
      <c r="B891" s="14" t="s">
        <v>1781</v>
      </c>
      <c r="C891" s="23"/>
      <c r="D891" s="23"/>
      <c r="E891" s="23"/>
      <c r="F891" s="42"/>
      <c r="G891" s="42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</row>
    <row r="892">
      <c r="A892" s="18" t="s">
        <v>1782</v>
      </c>
      <c r="B892" s="19" t="s">
        <v>1783</v>
      </c>
      <c r="C892" s="23"/>
      <c r="D892" s="23"/>
      <c r="E892" s="23"/>
      <c r="F892" s="42"/>
      <c r="G892" s="42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</row>
    <row r="893">
      <c r="A893" s="13" t="s">
        <v>1784</v>
      </c>
      <c r="B893" s="14" t="s">
        <v>1785</v>
      </c>
      <c r="C893" s="23"/>
      <c r="D893" s="23"/>
      <c r="E893" s="23"/>
      <c r="F893" s="42"/>
      <c r="G893" s="42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</row>
    <row r="894">
      <c r="A894" s="25" t="s">
        <v>1786</v>
      </c>
      <c r="B894" s="19" t="s">
        <v>1787</v>
      </c>
      <c r="C894" s="23"/>
      <c r="D894" s="23"/>
      <c r="E894" s="23"/>
      <c r="F894" s="42"/>
      <c r="G894" s="42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</row>
    <row r="895">
      <c r="A895" s="22" t="s">
        <v>1788</v>
      </c>
      <c r="B895" s="14" t="s">
        <v>1789</v>
      </c>
      <c r="C895" s="23"/>
      <c r="D895" s="23"/>
      <c r="E895" s="23"/>
      <c r="F895" s="42"/>
      <c r="G895" s="42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</row>
    <row r="896">
      <c r="A896" s="25" t="s">
        <v>1790</v>
      </c>
      <c r="B896" s="19" t="s">
        <v>1791</v>
      </c>
      <c r="C896" s="23"/>
      <c r="D896" s="23"/>
      <c r="E896" s="23"/>
      <c r="F896" s="42"/>
      <c r="G896" s="42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</row>
    <row r="897">
      <c r="A897" s="13" t="s">
        <v>1792</v>
      </c>
      <c r="B897" s="14" t="s">
        <v>1793</v>
      </c>
      <c r="C897" s="23"/>
      <c r="D897" s="23"/>
      <c r="E897" s="23"/>
      <c r="F897" s="42"/>
      <c r="G897" s="42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</row>
    <row r="898">
      <c r="A898" s="25" t="s">
        <v>1794</v>
      </c>
      <c r="B898" s="19" t="s">
        <v>1795</v>
      </c>
      <c r="C898" s="23"/>
      <c r="D898" s="23"/>
      <c r="E898" s="23"/>
      <c r="F898" s="42"/>
      <c r="G898" s="42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</row>
    <row r="899">
      <c r="A899" s="13" t="s">
        <v>1796</v>
      </c>
      <c r="B899" s="14" t="s">
        <v>1797</v>
      </c>
      <c r="C899" s="23"/>
      <c r="D899" s="23"/>
      <c r="E899" s="23"/>
      <c r="F899" s="42"/>
      <c r="G899" s="42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</row>
    <row r="900">
      <c r="A900" s="25" t="s">
        <v>1798</v>
      </c>
      <c r="B900" s="19" t="s">
        <v>1799</v>
      </c>
      <c r="C900" s="23"/>
      <c r="D900" s="23"/>
      <c r="E900" s="23"/>
      <c r="F900" s="42"/>
      <c r="G900" s="42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</row>
    <row r="901">
      <c r="A901" s="13" t="s">
        <v>1800</v>
      </c>
      <c r="B901" s="14" t="s">
        <v>1801</v>
      </c>
      <c r="C901" s="23"/>
      <c r="D901" s="23"/>
      <c r="E901" s="23"/>
      <c r="F901" s="42"/>
      <c r="G901" s="42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</row>
    <row r="902">
      <c r="A902" s="25" t="s">
        <v>1802</v>
      </c>
      <c r="B902" s="19" t="s">
        <v>1803</v>
      </c>
      <c r="C902" s="23"/>
      <c r="D902" s="23"/>
      <c r="E902" s="23"/>
      <c r="F902" s="42"/>
      <c r="G902" s="42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</row>
    <row r="903">
      <c r="A903" s="22" t="s">
        <v>1804</v>
      </c>
      <c r="B903" s="14" t="s">
        <v>1805</v>
      </c>
      <c r="C903" s="23"/>
      <c r="D903" s="23"/>
      <c r="E903" s="23"/>
      <c r="F903" s="42"/>
      <c r="G903" s="42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</row>
    <row r="904">
      <c r="A904" s="25" t="s">
        <v>1806</v>
      </c>
      <c r="B904" s="19" t="s">
        <v>1807</v>
      </c>
      <c r="C904" s="23"/>
      <c r="D904" s="23"/>
      <c r="E904" s="23"/>
      <c r="F904" s="42"/>
      <c r="G904" s="42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</row>
    <row r="905">
      <c r="A905" s="22" t="s">
        <v>1808</v>
      </c>
      <c r="B905" s="14" t="s">
        <v>1809</v>
      </c>
      <c r="C905" s="23"/>
      <c r="D905" s="23"/>
      <c r="E905" s="23"/>
      <c r="F905" s="42"/>
      <c r="G905" s="42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</row>
    <row r="906">
      <c r="A906" s="18" t="s">
        <v>1810</v>
      </c>
      <c r="B906" s="33" t="s">
        <v>1811</v>
      </c>
      <c r="C906" s="23"/>
      <c r="D906" s="23"/>
      <c r="E906" s="23"/>
      <c r="F906" s="42"/>
      <c r="G906" s="42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</row>
    <row r="907">
      <c r="A907" s="13" t="s">
        <v>1812</v>
      </c>
      <c r="B907" s="14" t="s">
        <v>1813</v>
      </c>
      <c r="C907" s="23"/>
      <c r="D907" s="23"/>
      <c r="E907" s="23"/>
      <c r="F907" s="42"/>
      <c r="G907" s="42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</row>
    <row r="908">
      <c r="A908" s="25" t="s">
        <v>1814</v>
      </c>
      <c r="B908" s="19" t="s">
        <v>1815</v>
      </c>
      <c r="C908" s="23"/>
      <c r="D908" s="23"/>
      <c r="E908" s="23"/>
      <c r="F908" s="42"/>
      <c r="G908" s="42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</row>
    <row r="909">
      <c r="A909" s="13" t="s">
        <v>1816</v>
      </c>
      <c r="B909" s="14" t="s">
        <v>1817</v>
      </c>
      <c r="C909" s="23"/>
      <c r="D909" s="23"/>
      <c r="E909" s="23"/>
      <c r="F909" s="42"/>
      <c r="G909" s="42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</row>
    <row r="910">
      <c r="A910" s="18" t="s">
        <v>1818</v>
      </c>
      <c r="B910" s="19" t="s">
        <v>1819</v>
      </c>
      <c r="C910" s="23"/>
      <c r="D910" s="23"/>
      <c r="E910" s="23"/>
      <c r="F910" s="42"/>
      <c r="G910" s="42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</row>
    <row r="911">
      <c r="A911" s="13" t="s">
        <v>1820</v>
      </c>
      <c r="B911" s="14" t="s">
        <v>1821</v>
      </c>
      <c r="C911" s="23"/>
      <c r="D911" s="23"/>
      <c r="E911" s="23"/>
      <c r="F911" s="42"/>
      <c r="G911" s="42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</row>
    <row r="912">
      <c r="A912" s="18" t="s">
        <v>1822</v>
      </c>
      <c r="B912" s="19" t="s">
        <v>1823</v>
      </c>
      <c r="C912" s="23"/>
      <c r="D912" s="23"/>
      <c r="E912" s="23"/>
      <c r="F912" s="42"/>
      <c r="G912" s="42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</row>
    <row r="913">
      <c r="A913" s="13" t="s">
        <v>1824</v>
      </c>
      <c r="B913" s="14" t="s">
        <v>1825</v>
      </c>
      <c r="C913" s="23"/>
      <c r="D913" s="23"/>
      <c r="E913" s="23"/>
      <c r="F913" s="42"/>
      <c r="G913" s="42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</row>
    <row r="914">
      <c r="A914" s="54" t="s">
        <v>1826</v>
      </c>
      <c r="B914" s="19" t="s">
        <v>1827</v>
      </c>
      <c r="C914" s="23"/>
      <c r="D914" s="23"/>
      <c r="E914" s="23"/>
      <c r="F914" s="42"/>
      <c r="G914" s="42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</row>
    <row r="915">
      <c r="A915" s="22" t="s">
        <v>1828</v>
      </c>
      <c r="B915" s="14" t="s">
        <v>1829</v>
      </c>
      <c r="C915" s="23"/>
      <c r="D915" s="23"/>
      <c r="E915" s="23"/>
      <c r="F915" s="42"/>
      <c r="G915" s="42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</row>
    <row r="916">
      <c r="A916" s="18" t="s">
        <v>1830</v>
      </c>
      <c r="B916" s="19" t="s">
        <v>1831</v>
      </c>
      <c r="C916" s="23"/>
      <c r="D916" s="23"/>
      <c r="E916" s="23"/>
      <c r="F916" s="42"/>
      <c r="G916" s="42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</row>
    <row r="917">
      <c r="A917" s="22" t="s">
        <v>1832</v>
      </c>
      <c r="B917" s="14" t="s">
        <v>1833</v>
      </c>
      <c r="C917" s="23"/>
      <c r="D917" s="23"/>
      <c r="E917" s="23"/>
      <c r="F917" s="42"/>
      <c r="G917" s="42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</row>
    <row r="918">
      <c r="A918" s="25" t="s">
        <v>1834</v>
      </c>
      <c r="B918" s="19" t="s">
        <v>1835</v>
      </c>
      <c r="C918" s="23"/>
      <c r="D918" s="23"/>
      <c r="E918" s="23"/>
      <c r="F918" s="42"/>
      <c r="G918" s="42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</row>
    <row r="919">
      <c r="A919" s="13" t="s">
        <v>1836</v>
      </c>
      <c r="B919" s="14" t="s">
        <v>1837</v>
      </c>
      <c r="C919" s="23"/>
      <c r="D919" s="23"/>
      <c r="E919" s="23"/>
      <c r="F919" s="42"/>
      <c r="G919" s="42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</row>
    <row r="920">
      <c r="A920" s="18" t="s">
        <v>1838</v>
      </c>
      <c r="B920" s="19" t="s">
        <v>1839</v>
      </c>
      <c r="C920" s="23"/>
      <c r="D920" s="23"/>
      <c r="E920" s="23"/>
      <c r="F920" s="42"/>
      <c r="G920" s="42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</row>
    <row r="921">
      <c r="A921" s="13" t="s">
        <v>1840</v>
      </c>
      <c r="B921" s="14" t="s">
        <v>1841</v>
      </c>
      <c r="C921" s="23"/>
      <c r="D921" s="23"/>
      <c r="E921" s="23"/>
      <c r="F921" s="42"/>
      <c r="G921" s="42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</row>
    <row r="922">
      <c r="A922" s="18" t="s">
        <v>1842</v>
      </c>
      <c r="B922" s="19" t="s">
        <v>1843</v>
      </c>
      <c r="C922" s="23"/>
      <c r="D922" s="23"/>
      <c r="E922" s="23"/>
      <c r="F922" s="42"/>
      <c r="G922" s="42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</row>
    <row r="923">
      <c r="A923" s="22" t="s">
        <v>1844</v>
      </c>
      <c r="B923" s="14" t="s">
        <v>1845</v>
      </c>
      <c r="C923" s="23"/>
      <c r="D923" s="23"/>
      <c r="E923" s="23"/>
      <c r="F923" s="42"/>
      <c r="G923" s="42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</row>
    <row r="924">
      <c r="A924" s="25" t="s">
        <v>1846</v>
      </c>
      <c r="B924" s="19" t="s">
        <v>1847</v>
      </c>
      <c r="C924" s="23"/>
      <c r="D924" s="23"/>
      <c r="E924" s="23"/>
      <c r="F924" s="42"/>
      <c r="G924" s="42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</row>
    <row r="925">
      <c r="A925" s="13" t="s">
        <v>1848</v>
      </c>
      <c r="B925" s="26" t="s">
        <v>1849</v>
      </c>
      <c r="C925" s="23"/>
      <c r="D925" s="23"/>
      <c r="E925" s="23"/>
      <c r="F925" s="42"/>
      <c r="G925" s="42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</row>
    <row r="926">
      <c r="A926" s="25" t="s">
        <v>1850</v>
      </c>
      <c r="B926" s="19" t="s">
        <v>1851</v>
      </c>
      <c r="C926" s="23"/>
      <c r="D926" s="23"/>
      <c r="E926" s="23"/>
      <c r="F926" s="42"/>
      <c r="G926" s="42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</row>
    <row r="927">
      <c r="A927" s="13" t="s">
        <v>1852</v>
      </c>
      <c r="B927" s="14" t="s">
        <v>1853</v>
      </c>
      <c r="C927" s="23"/>
      <c r="D927" s="23"/>
      <c r="E927" s="23"/>
      <c r="F927" s="42"/>
      <c r="G927" s="42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</row>
    <row r="928">
      <c r="A928" s="25" t="s">
        <v>1854</v>
      </c>
      <c r="B928" s="19" t="s">
        <v>1855</v>
      </c>
      <c r="C928" s="23"/>
      <c r="D928" s="23"/>
      <c r="E928" s="23"/>
      <c r="F928" s="42"/>
      <c r="G928" s="42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</row>
    <row r="929">
      <c r="A929" s="13" t="s">
        <v>1856</v>
      </c>
      <c r="B929" s="26" t="s">
        <v>1857</v>
      </c>
      <c r="C929" s="23"/>
      <c r="D929" s="23"/>
      <c r="E929" s="23"/>
      <c r="F929" s="42"/>
      <c r="G929" s="42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</row>
    <row r="930">
      <c r="A930" s="18" t="s">
        <v>1858</v>
      </c>
      <c r="B930" s="19" t="s">
        <v>1859</v>
      </c>
      <c r="C930" s="23"/>
      <c r="D930" s="23"/>
      <c r="E930" s="23"/>
      <c r="F930" s="42"/>
      <c r="G930" s="42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</row>
    <row r="931">
      <c r="A931" s="28" t="s">
        <v>1860</v>
      </c>
      <c r="B931" s="14" t="s">
        <v>1861</v>
      </c>
      <c r="C931" s="23"/>
      <c r="D931" s="23"/>
      <c r="E931" s="23"/>
      <c r="F931" s="42"/>
      <c r="G931" s="42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</row>
    <row r="932">
      <c r="A932" s="25" t="s">
        <v>1862</v>
      </c>
      <c r="B932" s="19" t="s">
        <v>1863</v>
      </c>
      <c r="C932" s="23"/>
      <c r="D932" s="23"/>
      <c r="E932" s="23"/>
      <c r="F932" s="42"/>
      <c r="G932" s="42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</row>
    <row r="933">
      <c r="A933" s="13" t="s">
        <v>1864</v>
      </c>
      <c r="B933" s="14" t="s">
        <v>1865</v>
      </c>
      <c r="C933" s="23"/>
      <c r="D933" s="23"/>
      <c r="E933" s="23"/>
      <c r="F933" s="42"/>
      <c r="G933" s="42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</row>
    <row r="934">
      <c r="A934" s="25" t="s">
        <v>1866</v>
      </c>
      <c r="B934" s="19" t="s">
        <v>1867</v>
      </c>
      <c r="C934" s="23"/>
      <c r="D934" s="23"/>
      <c r="E934" s="23"/>
      <c r="F934" s="42"/>
      <c r="G934" s="42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</row>
    <row r="935">
      <c r="A935" s="44" t="s">
        <v>1868</v>
      </c>
      <c r="B935" s="45" t="s">
        <v>1869</v>
      </c>
      <c r="C935" s="23"/>
      <c r="D935" s="23"/>
      <c r="E935" s="23"/>
      <c r="F935" s="42"/>
      <c r="G935" s="42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</row>
    <row r="936">
      <c r="A936" s="25" t="s">
        <v>1870</v>
      </c>
      <c r="B936" s="19" t="s">
        <v>1871</v>
      </c>
      <c r="C936" s="23"/>
      <c r="D936" s="23"/>
      <c r="E936" s="23"/>
      <c r="F936" s="42"/>
      <c r="G936" s="42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</row>
    <row r="937">
      <c r="A937" s="13" t="s">
        <v>1872</v>
      </c>
      <c r="B937" s="14" t="s">
        <v>1873</v>
      </c>
      <c r="C937" s="23"/>
      <c r="D937" s="23"/>
      <c r="E937" s="23"/>
      <c r="F937" s="42"/>
      <c r="G937" s="42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</row>
    <row r="938">
      <c r="A938" s="25" t="s">
        <v>1874</v>
      </c>
      <c r="B938" s="19" t="s">
        <v>1875</v>
      </c>
      <c r="C938" s="23"/>
      <c r="D938" s="23"/>
      <c r="E938" s="23"/>
      <c r="F938" s="42"/>
      <c r="G938" s="42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</row>
    <row r="939">
      <c r="A939" s="13" t="s">
        <v>1876</v>
      </c>
      <c r="B939" s="14" t="s">
        <v>1877</v>
      </c>
      <c r="C939" s="23"/>
      <c r="D939" s="23"/>
      <c r="E939" s="23"/>
      <c r="F939" s="42"/>
      <c r="G939" s="42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</row>
    <row r="940">
      <c r="A940" s="18" t="s">
        <v>1878</v>
      </c>
      <c r="B940" s="19" t="s">
        <v>1879</v>
      </c>
      <c r="C940" s="23"/>
      <c r="D940" s="23"/>
      <c r="E940" s="23"/>
      <c r="F940" s="42"/>
      <c r="G940" s="42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</row>
    <row r="941">
      <c r="A941" s="22" t="s">
        <v>1880</v>
      </c>
      <c r="B941" s="14" t="s">
        <v>1881</v>
      </c>
      <c r="C941" s="23"/>
      <c r="D941" s="23"/>
      <c r="E941" s="23"/>
      <c r="F941" s="42"/>
      <c r="G941" s="42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</row>
    <row r="942">
      <c r="A942" s="25" t="s">
        <v>1882</v>
      </c>
      <c r="B942" s="19" t="s">
        <v>1883</v>
      </c>
      <c r="C942" s="23"/>
      <c r="D942" s="23"/>
      <c r="E942" s="23"/>
      <c r="F942" s="42"/>
      <c r="G942" s="42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</row>
    <row r="943">
      <c r="A943" s="13" t="s">
        <v>1884</v>
      </c>
      <c r="B943" s="14" t="s">
        <v>1885</v>
      </c>
      <c r="C943" s="23"/>
      <c r="D943" s="23"/>
      <c r="E943" s="23"/>
      <c r="F943" s="42"/>
      <c r="G943" s="42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</row>
    <row r="944">
      <c r="A944" s="18" t="s">
        <v>1886</v>
      </c>
      <c r="B944" s="19" t="s">
        <v>1887</v>
      </c>
      <c r="C944" s="23"/>
      <c r="D944" s="23"/>
      <c r="E944" s="23"/>
      <c r="F944" s="42"/>
      <c r="G944" s="42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</row>
    <row r="945">
      <c r="A945" s="13" t="s">
        <v>1888</v>
      </c>
      <c r="B945" s="14" t="s">
        <v>1889</v>
      </c>
      <c r="C945" s="23"/>
      <c r="D945" s="23"/>
      <c r="E945" s="23"/>
      <c r="F945" s="42"/>
      <c r="G945" s="42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</row>
    <row r="946">
      <c r="A946" s="18" t="s">
        <v>1890</v>
      </c>
      <c r="B946" s="19" t="s">
        <v>1891</v>
      </c>
      <c r="C946" s="23"/>
      <c r="D946" s="23"/>
      <c r="E946" s="23"/>
      <c r="F946" s="42"/>
      <c r="G946" s="42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</row>
    <row r="947">
      <c r="A947" s="13" t="s">
        <v>1892</v>
      </c>
      <c r="B947" s="14" t="s">
        <v>1893</v>
      </c>
      <c r="C947" s="23"/>
      <c r="D947" s="23"/>
      <c r="E947" s="23"/>
      <c r="F947" s="42"/>
      <c r="G947" s="42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</row>
    <row r="948">
      <c r="A948" s="18" t="s">
        <v>1894</v>
      </c>
      <c r="B948" s="19" t="s">
        <v>1895</v>
      </c>
      <c r="C948" s="23"/>
      <c r="D948" s="23"/>
      <c r="E948" s="23"/>
      <c r="F948" s="42"/>
      <c r="G948" s="42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</row>
    <row r="949">
      <c r="A949" s="13" t="s">
        <v>1896</v>
      </c>
      <c r="B949" s="14" t="s">
        <v>1897</v>
      </c>
      <c r="C949" s="23"/>
      <c r="D949" s="23"/>
      <c r="E949" s="23"/>
      <c r="F949" s="42"/>
      <c r="G949" s="42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</row>
    <row r="950">
      <c r="A950" s="25" t="s">
        <v>1898</v>
      </c>
      <c r="B950" s="19" t="s">
        <v>1899</v>
      </c>
      <c r="C950" s="23"/>
      <c r="D950" s="23"/>
      <c r="E950" s="23"/>
      <c r="F950" s="42"/>
      <c r="G950" s="42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</row>
    <row r="951">
      <c r="A951" s="13" t="s">
        <v>1900</v>
      </c>
      <c r="B951" s="14" t="s">
        <v>1901</v>
      </c>
      <c r="C951" s="23"/>
      <c r="D951" s="23"/>
      <c r="E951" s="23"/>
      <c r="F951" s="42"/>
      <c r="G951" s="42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</row>
    <row r="952">
      <c r="A952" s="25" t="s">
        <v>1902</v>
      </c>
      <c r="B952" s="19" t="s">
        <v>1903</v>
      </c>
      <c r="C952" s="23"/>
      <c r="D952" s="23"/>
      <c r="E952" s="23"/>
      <c r="F952" s="42"/>
      <c r="G952" s="42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</row>
    <row r="953">
      <c r="A953" s="13" t="s">
        <v>1904</v>
      </c>
      <c r="B953" s="26" t="s">
        <v>1905</v>
      </c>
      <c r="C953" s="23"/>
      <c r="D953" s="23"/>
      <c r="E953" s="23"/>
      <c r="F953" s="42"/>
      <c r="G953" s="42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</row>
    <row r="954">
      <c r="A954" s="25" t="s">
        <v>1906</v>
      </c>
      <c r="B954" s="46" t="s">
        <v>1907</v>
      </c>
      <c r="C954" s="23"/>
      <c r="D954" s="23"/>
      <c r="E954" s="23"/>
      <c r="F954" s="42"/>
      <c r="G954" s="42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</row>
    <row r="955">
      <c r="A955" s="13" t="s">
        <v>1908</v>
      </c>
      <c r="B955" s="14" t="s">
        <v>1909</v>
      </c>
      <c r="C955" s="23"/>
      <c r="D955" s="23"/>
      <c r="E955" s="23"/>
      <c r="F955" s="42"/>
      <c r="G955" s="42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</row>
    <row r="956">
      <c r="A956" s="18" t="s">
        <v>1910</v>
      </c>
      <c r="B956" s="19" t="s">
        <v>1911</v>
      </c>
      <c r="C956" s="23"/>
      <c r="D956" s="23"/>
      <c r="E956" s="23"/>
      <c r="F956" s="42"/>
      <c r="G956" s="42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</row>
    <row r="957">
      <c r="A957" s="22" t="s">
        <v>1912</v>
      </c>
      <c r="B957" s="14" t="s">
        <v>1913</v>
      </c>
      <c r="C957" s="23"/>
      <c r="D957" s="23"/>
      <c r="E957" s="23"/>
      <c r="F957" s="42"/>
      <c r="G957" s="42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</row>
    <row r="958">
      <c r="A958" s="18" t="s">
        <v>1914</v>
      </c>
      <c r="B958" s="19" t="s">
        <v>1915</v>
      </c>
      <c r="C958" s="23"/>
      <c r="D958" s="23"/>
      <c r="E958" s="23"/>
      <c r="F958" s="42"/>
      <c r="G958" s="42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</row>
    <row r="959">
      <c r="A959" s="13" t="s">
        <v>1916</v>
      </c>
      <c r="B959" s="14" t="s">
        <v>1917</v>
      </c>
      <c r="C959" s="23"/>
      <c r="D959" s="23"/>
      <c r="E959" s="23"/>
      <c r="F959" s="42"/>
      <c r="G959" s="42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</row>
    <row r="960">
      <c r="A960" s="9" t="s">
        <v>1918</v>
      </c>
      <c r="B960" s="10" t="s">
        <v>1919</v>
      </c>
      <c r="C960" s="23"/>
      <c r="D960" s="23"/>
      <c r="E960" s="23"/>
      <c r="F960" s="42"/>
      <c r="G960" s="42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</row>
    <row r="961">
      <c r="A961" s="13" t="s">
        <v>1920</v>
      </c>
      <c r="B961" s="14" t="s">
        <v>1921</v>
      </c>
      <c r="C961" s="23"/>
      <c r="D961" s="23"/>
      <c r="E961" s="23"/>
      <c r="F961" s="42"/>
      <c r="G961" s="42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</row>
    <row r="962">
      <c r="A962" s="25" t="s">
        <v>1922</v>
      </c>
      <c r="B962" s="19" t="s">
        <v>1923</v>
      </c>
      <c r="C962" s="23"/>
      <c r="D962" s="23"/>
      <c r="E962" s="23"/>
      <c r="F962" s="42"/>
      <c r="G962" s="42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</row>
    <row r="963">
      <c r="A963" s="13" t="s">
        <v>1924</v>
      </c>
      <c r="B963" s="14" t="s">
        <v>1925</v>
      </c>
      <c r="C963" s="23"/>
      <c r="D963" s="23"/>
      <c r="E963" s="23"/>
      <c r="F963" s="42"/>
      <c r="G963" s="42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</row>
    <row r="964">
      <c r="A964" s="18" t="s">
        <v>1926</v>
      </c>
      <c r="B964" s="33" t="s">
        <v>1927</v>
      </c>
      <c r="C964" s="23"/>
      <c r="D964" s="23"/>
      <c r="E964" s="23"/>
      <c r="F964" s="42"/>
      <c r="G964" s="42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</row>
    <row r="965">
      <c r="A965" s="13" t="s">
        <v>1928</v>
      </c>
      <c r="B965" s="14" t="s">
        <v>1929</v>
      </c>
      <c r="C965" s="23"/>
      <c r="D965" s="23"/>
      <c r="E965" s="23"/>
      <c r="F965" s="42"/>
      <c r="G965" s="42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</row>
    <row r="966">
      <c r="A966" s="25" t="s">
        <v>1930</v>
      </c>
      <c r="B966" s="19" t="s">
        <v>1931</v>
      </c>
      <c r="C966" s="23"/>
      <c r="D966" s="23"/>
      <c r="E966" s="23"/>
      <c r="F966" s="42"/>
      <c r="G966" s="42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</row>
    <row r="967">
      <c r="A967" s="13" t="s">
        <v>1932</v>
      </c>
      <c r="B967" s="14" t="s">
        <v>1933</v>
      </c>
      <c r="C967" s="23"/>
      <c r="D967" s="23"/>
      <c r="E967" s="23"/>
      <c r="F967" s="42"/>
      <c r="G967" s="42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</row>
    <row r="968">
      <c r="A968" s="18" t="s">
        <v>1934</v>
      </c>
      <c r="B968" s="19" t="s">
        <v>1935</v>
      </c>
      <c r="C968" s="23"/>
      <c r="D968" s="23"/>
      <c r="E968" s="23"/>
      <c r="F968" s="42"/>
      <c r="G968" s="42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</row>
    <row r="969">
      <c r="A969" s="22" t="s">
        <v>1936</v>
      </c>
      <c r="B969" s="14" t="s">
        <v>1937</v>
      </c>
      <c r="C969" s="23"/>
      <c r="D969" s="23"/>
      <c r="E969" s="23"/>
      <c r="F969" s="42"/>
      <c r="G969" s="42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</row>
    <row r="970">
      <c r="A970" s="25" t="s">
        <v>1938</v>
      </c>
      <c r="B970" s="19" t="s">
        <v>1939</v>
      </c>
      <c r="C970" s="23"/>
      <c r="D970" s="23"/>
      <c r="E970" s="23"/>
      <c r="F970" s="42"/>
      <c r="G970" s="42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</row>
    <row r="971">
      <c r="A971" s="13" t="s">
        <v>1940</v>
      </c>
      <c r="B971" s="14" t="s">
        <v>1941</v>
      </c>
      <c r="C971" s="23"/>
      <c r="D971" s="23"/>
      <c r="E971" s="23"/>
      <c r="F971" s="42"/>
      <c r="G971" s="42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</row>
    <row r="972">
      <c r="A972" s="25" t="s">
        <v>1942</v>
      </c>
      <c r="B972" s="19" t="s">
        <v>1943</v>
      </c>
      <c r="C972" s="23"/>
      <c r="D972" s="23"/>
      <c r="E972" s="23"/>
      <c r="F972" s="42"/>
      <c r="G972" s="42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</row>
    <row r="973">
      <c r="A973" s="22" t="s">
        <v>1944</v>
      </c>
      <c r="B973" s="14" t="s">
        <v>1945</v>
      </c>
      <c r="C973" s="23"/>
      <c r="D973" s="23"/>
      <c r="E973" s="23"/>
      <c r="F973" s="42"/>
      <c r="G973" s="42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</row>
    <row r="974">
      <c r="A974" s="18" t="s">
        <v>1946</v>
      </c>
      <c r="B974" s="19" t="s">
        <v>1947</v>
      </c>
      <c r="C974" s="23"/>
      <c r="D974" s="23"/>
      <c r="E974" s="23"/>
      <c r="F974" s="42"/>
      <c r="G974" s="42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</row>
    <row r="975">
      <c r="A975" s="44" t="s">
        <v>1948</v>
      </c>
      <c r="B975" s="45" t="s">
        <v>1949</v>
      </c>
      <c r="C975" s="23"/>
      <c r="D975" s="23"/>
      <c r="E975" s="23"/>
      <c r="F975" s="42"/>
      <c r="G975" s="42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</row>
    <row r="976">
      <c r="A976" s="9" t="s">
        <v>1950</v>
      </c>
      <c r="B976" s="10" t="s">
        <v>1951</v>
      </c>
      <c r="C976" s="23"/>
      <c r="D976" s="23"/>
      <c r="E976" s="23"/>
      <c r="F976" s="42"/>
      <c r="G976" s="42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</row>
    <row r="977">
      <c r="A977" s="13" t="s">
        <v>1952</v>
      </c>
      <c r="B977" s="14" t="s">
        <v>1953</v>
      </c>
      <c r="C977" s="23"/>
      <c r="D977" s="23"/>
      <c r="E977" s="23"/>
      <c r="F977" s="42"/>
      <c r="G977" s="42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</row>
    <row r="978">
      <c r="A978" s="25" t="s">
        <v>1954</v>
      </c>
      <c r="B978" s="19" t="s">
        <v>1955</v>
      </c>
      <c r="C978" s="23"/>
      <c r="D978" s="23"/>
      <c r="E978" s="23"/>
      <c r="F978" s="42"/>
      <c r="G978" s="42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</row>
    <row r="979">
      <c r="A979" s="22" t="s">
        <v>1956</v>
      </c>
      <c r="B979" s="14" t="s">
        <v>1957</v>
      </c>
      <c r="C979" s="23"/>
      <c r="D979" s="23"/>
      <c r="E979" s="23"/>
      <c r="F979" s="42"/>
      <c r="G979" s="42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</row>
    <row r="980">
      <c r="A980" s="18" t="s">
        <v>1958</v>
      </c>
      <c r="B980" s="19" t="s">
        <v>1959</v>
      </c>
      <c r="C980" s="23"/>
      <c r="D980" s="23"/>
      <c r="E980" s="23"/>
      <c r="F980" s="42"/>
      <c r="G980" s="42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</row>
    <row r="981">
      <c r="A981" s="22" t="s">
        <v>1960</v>
      </c>
      <c r="B981" s="14" t="s">
        <v>1961</v>
      </c>
      <c r="C981" s="23"/>
      <c r="D981" s="23"/>
      <c r="E981" s="23"/>
      <c r="F981" s="42"/>
      <c r="G981" s="42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</row>
    <row r="982">
      <c r="A982" s="18" t="s">
        <v>1962</v>
      </c>
      <c r="B982" s="19" t="s">
        <v>1963</v>
      </c>
      <c r="C982" s="23"/>
      <c r="D982" s="23"/>
      <c r="E982" s="23"/>
      <c r="F982" s="42"/>
      <c r="G982" s="42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</row>
    <row r="983">
      <c r="A983" s="13" t="s">
        <v>1964</v>
      </c>
      <c r="B983" s="14" t="s">
        <v>1965</v>
      </c>
      <c r="C983" s="23"/>
      <c r="D983" s="23"/>
      <c r="E983" s="23"/>
      <c r="F983" s="42"/>
      <c r="G983" s="42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</row>
    <row r="984">
      <c r="A984" s="47" t="s">
        <v>1966</v>
      </c>
      <c r="B984" s="19" t="s">
        <v>1967</v>
      </c>
      <c r="C984" s="23"/>
      <c r="D984" s="23"/>
      <c r="E984" s="23"/>
      <c r="F984" s="42"/>
      <c r="G984" s="42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</row>
    <row r="985">
      <c r="A985" s="13" t="s">
        <v>1968</v>
      </c>
      <c r="B985" s="14" t="s">
        <v>1969</v>
      </c>
      <c r="C985" s="23"/>
      <c r="D985" s="23"/>
      <c r="E985" s="23"/>
      <c r="F985" s="42"/>
      <c r="G985" s="42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</row>
    <row r="986">
      <c r="A986" s="18" t="s">
        <v>1970</v>
      </c>
      <c r="B986" s="33" t="s">
        <v>1971</v>
      </c>
      <c r="C986" s="23"/>
      <c r="D986" s="23"/>
      <c r="E986" s="23"/>
      <c r="F986" s="42"/>
      <c r="G986" s="42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</row>
    <row r="987">
      <c r="A987" s="22" t="s">
        <v>1972</v>
      </c>
      <c r="B987" s="14" t="s">
        <v>1973</v>
      </c>
      <c r="C987" s="23"/>
      <c r="D987" s="23"/>
      <c r="E987" s="23"/>
      <c r="F987" s="42"/>
      <c r="G987" s="42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</row>
    <row r="988">
      <c r="A988" s="18" t="s">
        <v>1974</v>
      </c>
      <c r="B988" s="19" t="s">
        <v>1975</v>
      </c>
      <c r="C988" s="23"/>
      <c r="D988" s="23"/>
      <c r="E988" s="23"/>
      <c r="F988" s="42"/>
      <c r="G988" s="42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</row>
    <row r="989">
      <c r="A989" s="13" t="s">
        <v>1976</v>
      </c>
      <c r="B989" s="26" t="s">
        <v>1977</v>
      </c>
      <c r="C989" s="23"/>
      <c r="D989" s="23"/>
      <c r="E989" s="23"/>
      <c r="F989" s="42"/>
      <c r="G989" s="42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</row>
    <row r="990">
      <c r="A990" s="18" t="s">
        <v>1978</v>
      </c>
      <c r="B990" s="19" t="s">
        <v>1979</v>
      </c>
      <c r="C990" s="23"/>
      <c r="D990" s="23"/>
      <c r="E990" s="23"/>
      <c r="F990" s="42"/>
      <c r="G990" s="42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</row>
    <row r="991">
      <c r="A991" s="22" t="s">
        <v>1980</v>
      </c>
      <c r="B991" s="14" t="s">
        <v>1981</v>
      </c>
      <c r="C991" s="23"/>
      <c r="D991" s="23"/>
      <c r="E991" s="23"/>
      <c r="F991" s="42"/>
      <c r="G991" s="42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</row>
    <row r="992">
      <c r="A992" s="18" t="s">
        <v>1982</v>
      </c>
      <c r="B992" s="19" t="s">
        <v>1983</v>
      </c>
      <c r="C992" s="23"/>
      <c r="D992" s="23"/>
      <c r="E992" s="23"/>
      <c r="F992" s="42"/>
      <c r="G992" s="42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</row>
    <row r="993">
      <c r="A993" s="13" t="s">
        <v>1984</v>
      </c>
      <c r="B993" s="14" t="s">
        <v>1985</v>
      </c>
      <c r="C993" s="23"/>
      <c r="D993" s="23"/>
      <c r="E993" s="23"/>
      <c r="F993" s="42"/>
      <c r="G993" s="42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</row>
    <row r="994">
      <c r="A994" s="25" t="s">
        <v>1986</v>
      </c>
      <c r="B994" s="19" t="s">
        <v>1987</v>
      </c>
      <c r="C994" s="23"/>
      <c r="D994" s="23"/>
      <c r="E994" s="23"/>
      <c r="F994" s="42"/>
      <c r="G994" s="42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</row>
    <row r="995">
      <c r="A995" s="13" t="s">
        <v>1988</v>
      </c>
      <c r="B995" s="14" t="s">
        <v>1989</v>
      </c>
      <c r="C995" s="23"/>
      <c r="D995" s="23"/>
      <c r="E995" s="23"/>
      <c r="F995" s="42"/>
      <c r="G995" s="42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</row>
    <row r="996">
      <c r="A996" s="25" t="s">
        <v>1990</v>
      </c>
      <c r="B996" s="19" t="s">
        <v>1991</v>
      </c>
      <c r="C996" s="23"/>
      <c r="D996" s="23"/>
      <c r="E996" s="23"/>
      <c r="F996" s="42"/>
      <c r="G996" s="42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</row>
    <row r="997">
      <c r="A997" s="13" t="s">
        <v>1992</v>
      </c>
      <c r="B997" s="14" t="s">
        <v>1993</v>
      </c>
      <c r="C997" s="23"/>
      <c r="D997" s="23"/>
      <c r="E997" s="23"/>
      <c r="F997" s="42"/>
      <c r="G997" s="42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</row>
    <row r="998">
      <c r="A998" s="18" t="s">
        <v>1994</v>
      </c>
      <c r="B998" s="19" t="s">
        <v>1995</v>
      </c>
      <c r="C998" s="23"/>
      <c r="D998" s="23"/>
      <c r="E998" s="23"/>
      <c r="F998" s="42"/>
      <c r="G998" s="42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</row>
    <row r="999">
      <c r="A999" s="22" t="s">
        <v>1996</v>
      </c>
      <c r="B999" s="14" t="s">
        <v>1997</v>
      </c>
      <c r="C999" s="23"/>
      <c r="D999" s="23"/>
      <c r="E999" s="23"/>
      <c r="F999" s="42"/>
      <c r="G999" s="42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</row>
    <row r="1000">
      <c r="A1000" s="25" t="s">
        <v>1998</v>
      </c>
      <c r="B1000" s="19" t="s">
        <v>1999</v>
      </c>
      <c r="C1000" s="23"/>
      <c r="D1000" s="23"/>
      <c r="E1000" s="23"/>
      <c r="F1000" s="42"/>
      <c r="G1000" s="42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</row>
    <row r="1001">
      <c r="A1001" s="13" t="s">
        <v>2000</v>
      </c>
      <c r="B1001" s="14" t="s">
        <v>2001</v>
      </c>
      <c r="C1001" s="23"/>
      <c r="D1001" s="23"/>
      <c r="E1001" s="23"/>
      <c r="F1001" s="42"/>
      <c r="G1001" s="42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</row>
    <row r="1002">
      <c r="A1002" s="18" t="s">
        <v>2002</v>
      </c>
      <c r="B1002" s="19" t="s">
        <v>2003</v>
      </c>
      <c r="C1002" s="23"/>
      <c r="D1002" s="23"/>
      <c r="E1002" s="23"/>
      <c r="F1002" s="42"/>
      <c r="G1002" s="42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</row>
    <row r="1003">
      <c r="A1003" s="13" t="s">
        <v>2004</v>
      </c>
      <c r="B1003" s="14" t="s">
        <v>2005</v>
      </c>
      <c r="C1003" s="23"/>
      <c r="D1003" s="23"/>
      <c r="E1003" s="23"/>
      <c r="F1003" s="42"/>
      <c r="G1003" s="42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</row>
    <row r="1004">
      <c r="A1004" s="18" t="s">
        <v>2006</v>
      </c>
      <c r="B1004" s="19" t="s">
        <v>2007</v>
      </c>
      <c r="C1004" s="23"/>
      <c r="D1004" s="23"/>
      <c r="E1004" s="23"/>
      <c r="F1004" s="42"/>
      <c r="G1004" s="42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</row>
    <row r="1005">
      <c r="A1005" s="22" t="s">
        <v>2008</v>
      </c>
      <c r="B1005" s="14" t="s">
        <v>2009</v>
      </c>
      <c r="C1005" s="23"/>
      <c r="D1005" s="23"/>
      <c r="E1005" s="23"/>
      <c r="F1005" s="42"/>
      <c r="G1005" s="42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</row>
    <row r="1006">
      <c r="A1006" s="18" t="s">
        <v>2010</v>
      </c>
      <c r="B1006" s="19" t="s">
        <v>2011</v>
      </c>
      <c r="C1006" s="23"/>
      <c r="D1006" s="23"/>
      <c r="E1006" s="23"/>
      <c r="F1006" s="42"/>
      <c r="G1006" s="42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</row>
    <row r="1007">
      <c r="A1007" s="13" t="s">
        <v>2012</v>
      </c>
      <c r="B1007" s="14" t="s">
        <v>2013</v>
      </c>
      <c r="C1007" s="23"/>
      <c r="D1007" s="23"/>
      <c r="E1007" s="23"/>
      <c r="F1007" s="42"/>
      <c r="G1007" s="42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</row>
    <row r="1008">
      <c r="A1008" s="18" t="s">
        <v>2014</v>
      </c>
      <c r="B1008" s="19" t="s">
        <v>2015</v>
      </c>
      <c r="C1008" s="23"/>
      <c r="D1008" s="23"/>
      <c r="E1008" s="23"/>
      <c r="F1008" s="42"/>
      <c r="G1008" s="42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</row>
    <row r="1009">
      <c r="A1009" s="13" t="s">
        <v>2016</v>
      </c>
      <c r="B1009" s="14" t="s">
        <v>2017</v>
      </c>
      <c r="C1009" s="23"/>
      <c r="D1009" s="23"/>
      <c r="E1009" s="23"/>
      <c r="F1009" s="42"/>
      <c r="G1009" s="42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</row>
    <row r="1010">
      <c r="A1010" s="25" t="s">
        <v>2018</v>
      </c>
      <c r="B1010" s="19" t="s">
        <v>2019</v>
      </c>
      <c r="C1010" s="23"/>
      <c r="D1010" s="23"/>
      <c r="E1010" s="23"/>
      <c r="F1010" s="42"/>
      <c r="G1010" s="42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</row>
    <row r="1011">
      <c r="A1011" s="22" t="s">
        <v>2020</v>
      </c>
      <c r="B1011" s="14" t="s">
        <v>2021</v>
      </c>
      <c r="C1011" s="23"/>
      <c r="D1011" s="23"/>
      <c r="E1011" s="23"/>
      <c r="F1011" s="42"/>
      <c r="G1011" s="42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</row>
    <row r="1012">
      <c r="A1012" s="25" t="s">
        <v>2022</v>
      </c>
      <c r="B1012" s="19" t="s">
        <v>2023</v>
      </c>
      <c r="C1012" s="23"/>
      <c r="D1012" s="23"/>
      <c r="E1012" s="23"/>
      <c r="F1012" s="42"/>
      <c r="G1012" s="42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</row>
    <row r="1013">
      <c r="A1013" s="13" t="s">
        <v>2024</v>
      </c>
      <c r="B1013" s="14" t="s">
        <v>2025</v>
      </c>
      <c r="C1013" s="23"/>
      <c r="D1013" s="23"/>
      <c r="E1013" s="23"/>
      <c r="F1013" s="42"/>
      <c r="G1013" s="42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</row>
    <row r="1014">
      <c r="A1014" s="25" t="s">
        <v>2026</v>
      </c>
      <c r="B1014" s="19" t="s">
        <v>2027</v>
      </c>
      <c r="C1014" s="23"/>
      <c r="D1014" s="23"/>
      <c r="E1014" s="23"/>
      <c r="F1014" s="42"/>
      <c r="G1014" s="42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</row>
    <row r="1015">
      <c r="A1015" s="22" t="s">
        <v>2028</v>
      </c>
      <c r="B1015" s="14" t="s">
        <v>2029</v>
      </c>
      <c r="C1015" s="23"/>
      <c r="D1015" s="23"/>
      <c r="E1015" s="23"/>
      <c r="F1015" s="42"/>
      <c r="G1015" s="42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</row>
    <row r="1016">
      <c r="A1016" s="25" t="s">
        <v>2030</v>
      </c>
      <c r="B1016" s="19" t="s">
        <v>2031</v>
      </c>
      <c r="C1016" s="23"/>
      <c r="D1016" s="23"/>
      <c r="E1016" s="23"/>
      <c r="F1016" s="42"/>
      <c r="G1016" s="42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</row>
    <row r="1017">
      <c r="A1017" s="13" t="s">
        <v>2032</v>
      </c>
      <c r="B1017" s="14" t="s">
        <v>2033</v>
      </c>
      <c r="C1017" s="23"/>
      <c r="D1017" s="23"/>
      <c r="E1017" s="23"/>
      <c r="F1017" s="42"/>
      <c r="G1017" s="42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</row>
    <row r="1018">
      <c r="A1018" s="25" t="s">
        <v>2034</v>
      </c>
      <c r="B1018" s="19" t="s">
        <v>2035</v>
      </c>
      <c r="C1018" s="23"/>
      <c r="D1018" s="23"/>
      <c r="E1018" s="23"/>
      <c r="F1018" s="42"/>
      <c r="G1018" s="42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</row>
    <row r="1019">
      <c r="A1019" s="13" t="s">
        <v>2036</v>
      </c>
      <c r="B1019" s="14" t="s">
        <v>2037</v>
      </c>
      <c r="C1019" s="23"/>
      <c r="D1019" s="23"/>
      <c r="E1019" s="23"/>
      <c r="F1019" s="42"/>
      <c r="G1019" s="42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</row>
    <row r="1020">
      <c r="A1020" s="25" t="s">
        <v>2038</v>
      </c>
      <c r="B1020" s="19" t="s">
        <v>2039</v>
      </c>
      <c r="C1020" s="23"/>
      <c r="D1020" s="23"/>
      <c r="E1020" s="23"/>
      <c r="F1020" s="42"/>
      <c r="G1020" s="42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</row>
    <row r="1021">
      <c r="A1021" s="13" t="s">
        <v>2040</v>
      </c>
      <c r="B1021" s="14" t="s">
        <v>2041</v>
      </c>
      <c r="C1021" s="23"/>
      <c r="D1021" s="23"/>
      <c r="E1021" s="23"/>
      <c r="F1021" s="42"/>
      <c r="G1021" s="42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</row>
    <row r="1022">
      <c r="A1022" s="25" t="s">
        <v>2042</v>
      </c>
      <c r="B1022" s="19" t="s">
        <v>2043</v>
      </c>
      <c r="C1022" s="23"/>
      <c r="D1022" s="23"/>
      <c r="E1022" s="23"/>
      <c r="F1022" s="42"/>
      <c r="G1022" s="42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</row>
    <row r="1023">
      <c r="A1023" s="13" t="s">
        <v>2044</v>
      </c>
      <c r="B1023" s="14" t="s">
        <v>2045</v>
      </c>
      <c r="C1023" s="23"/>
      <c r="D1023" s="23"/>
      <c r="E1023" s="23"/>
      <c r="F1023" s="42"/>
      <c r="G1023" s="42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</row>
    <row r="1024">
      <c r="A1024" s="18" t="s">
        <v>2046</v>
      </c>
      <c r="B1024" s="19" t="s">
        <v>2047</v>
      </c>
      <c r="C1024" s="23"/>
      <c r="D1024" s="23"/>
      <c r="E1024" s="23"/>
      <c r="F1024" s="42"/>
      <c r="G1024" s="42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</row>
    <row r="1025">
      <c r="A1025" s="13" t="s">
        <v>2048</v>
      </c>
      <c r="B1025" s="14" t="s">
        <v>2049</v>
      </c>
      <c r="C1025" s="23"/>
      <c r="D1025" s="23"/>
      <c r="E1025" s="23"/>
      <c r="F1025" s="42"/>
      <c r="G1025" s="42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</row>
    <row r="1026">
      <c r="A1026" s="25" t="s">
        <v>2050</v>
      </c>
      <c r="B1026" s="19" t="s">
        <v>2051</v>
      </c>
      <c r="C1026" s="23"/>
      <c r="D1026" s="23"/>
      <c r="E1026" s="23"/>
      <c r="F1026" s="42"/>
      <c r="G1026" s="42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</row>
    <row r="1027">
      <c r="A1027" s="13" t="s">
        <v>2052</v>
      </c>
      <c r="B1027" s="14" t="s">
        <v>2053</v>
      </c>
      <c r="C1027" s="23"/>
      <c r="D1027" s="23"/>
      <c r="E1027" s="23"/>
      <c r="F1027" s="42"/>
      <c r="G1027" s="42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</row>
    <row r="1028">
      <c r="A1028" s="18" t="s">
        <v>2054</v>
      </c>
      <c r="B1028" s="19" t="s">
        <v>2055</v>
      </c>
      <c r="C1028" s="23"/>
      <c r="D1028" s="23"/>
      <c r="E1028" s="23"/>
      <c r="F1028" s="42"/>
      <c r="G1028" s="42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</row>
    <row r="1029">
      <c r="A1029" s="22" t="s">
        <v>2056</v>
      </c>
      <c r="B1029" s="14" t="s">
        <v>2057</v>
      </c>
      <c r="C1029" s="23"/>
      <c r="D1029" s="23"/>
      <c r="E1029" s="23"/>
      <c r="F1029" s="42"/>
      <c r="G1029" s="42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</row>
    <row r="1030">
      <c r="A1030" s="25" t="s">
        <v>2058</v>
      </c>
      <c r="B1030" s="19" t="s">
        <v>2059</v>
      </c>
      <c r="C1030" s="23"/>
      <c r="D1030" s="23"/>
      <c r="E1030" s="23"/>
      <c r="F1030" s="42"/>
      <c r="G1030" s="42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</row>
    <row r="1031">
      <c r="A1031" s="13" t="s">
        <v>2060</v>
      </c>
      <c r="B1031" s="14" t="s">
        <v>2061</v>
      </c>
      <c r="C1031" s="23"/>
      <c r="D1031" s="23"/>
      <c r="E1031" s="23"/>
      <c r="F1031" s="42"/>
      <c r="G1031" s="42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</row>
    <row r="1032">
      <c r="A1032" s="25" t="s">
        <v>2062</v>
      </c>
      <c r="B1032" s="19" t="s">
        <v>2063</v>
      </c>
      <c r="C1032" s="23"/>
      <c r="D1032" s="23"/>
      <c r="E1032" s="23"/>
      <c r="F1032" s="42"/>
      <c r="G1032" s="42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</row>
    <row r="1033">
      <c r="A1033" s="13" t="s">
        <v>2064</v>
      </c>
      <c r="B1033" s="14" t="s">
        <v>2065</v>
      </c>
      <c r="C1033" s="23"/>
      <c r="D1033" s="23"/>
      <c r="E1033" s="23"/>
      <c r="F1033" s="42"/>
      <c r="G1033" s="42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</row>
    <row r="1034">
      <c r="A1034" s="18" t="s">
        <v>2066</v>
      </c>
      <c r="B1034" s="19" t="s">
        <v>2067</v>
      </c>
      <c r="C1034" s="23"/>
      <c r="D1034" s="23"/>
      <c r="E1034" s="23"/>
      <c r="F1034" s="42"/>
      <c r="G1034" s="42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</row>
    <row r="1035">
      <c r="A1035" s="13" t="s">
        <v>2068</v>
      </c>
      <c r="B1035" s="14" t="s">
        <v>2069</v>
      </c>
      <c r="C1035" s="23"/>
      <c r="D1035" s="23"/>
      <c r="E1035" s="23"/>
      <c r="F1035" s="42"/>
      <c r="G1035" s="42"/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</row>
    <row r="1036">
      <c r="A1036" s="25" t="s">
        <v>2070</v>
      </c>
      <c r="B1036" s="19" t="s">
        <v>2071</v>
      </c>
      <c r="C1036" s="23"/>
      <c r="D1036" s="23"/>
      <c r="E1036" s="23"/>
      <c r="F1036" s="42"/>
      <c r="G1036" s="42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</row>
    <row r="1037">
      <c r="A1037" s="13" t="s">
        <v>2072</v>
      </c>
      <c r="B1037" s="14" t="s">
        <v>2073</v>
      </c>
      <c r="C1037" s="23"/>
      <c r="D1037" s="23"/>
      <c r="E1037" s="23"/>
      <c r="F1037" s="42"/>
      <c r="G1037" s="42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</row>
    <row r="1038">
      <c r="A1038" s="25" t="s">
        <v>2074</v>
      </c>
      <c r="B1038" s="19" t="s">
        <v>2075</v>
      </c>
      <c r="C1038" s="23"/>
      <c r="D1038" s="23"/>
      <c r="E1038" s="23"/>
      <c r="F1038" s="42"/>
      <c r="G1038" s="42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</row>
    <row r="1039">
      <c r="A1039" s="22" t="s">
        <v>2076</v>
      </c>
      <c r="B1039" s="14" t="s">
        <v>2077</v>
      </c>
      <c r="C1039" s="23"/>
      <c r="D1039" s="23"/>
      <c r="E1039" s="23"/>
      <c r="F1039" s="42"/>
      <c r="G1039" s="42"/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</row>
    <row r="1040">
      <c r="A1040" s="18" t="s">
        <v>2078</v>
      </c>
      <c r="B1040" s="19" t="s">
        <v>2079</v>
      </c>
      <c r="C1040" s="23"/>
      <c r="D1040" s="23"/>
      <c r="E1040" s="23"/>
      <c r="F1040" s="42"/>
      <c r="G1040" s="42"/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</row>
    <row r="1041">
      <c r="A1041" s="13" t="s">
        <v>2080</v>
      </c>
      <c r="B1041" s="14" t="s">
        <v>2081</v>
      </c>
      <c r="C1041" s="23"/>
      <c r="D1041" s="23"/>
      <c r="E1041" s="23"/>
      <c r="F1041" s="42"/>
      <c r="G1041" s="42"/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</row>
    <row r="1042">
      <c r="A1042" s="25" t="s">
        <v>2082</v>
      </c>
      <c r="B1042" s="19" t="s">
        <v>2083</v>
      </c>
      <c r="C1042" s="23"/>
      <c r="D1042" s="23"/>
      <c r="E1042" s="23"/>
      <c r="F1042" s="42"/>
      <c r="G1042" s="42"/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</row>
    <row r="1043">
      <c r="A1043" s="13" t="s">
        <v>2084</v>
      </c>
      <c r="B1043" s="26" t="s">
        <v>2085</v>
      </c>
      <c r="C1043" s="23"/>
      <c r="D1043" s="23"/>
      <c r="E1043" s="23"/>
      <c r="F1043" s="42"/>
      <c r="G1043" s="42"/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</row>
    <row r="1044">
      <c r="A1044" s="18" t="s">
        <v>2086</v>
      </c>
      <c r="B1044" s="19" t="s">
        <v>2087</v>
      </c>
      <c r="C1044" s="23"/>
      <c r="D1044" s="23"/>
      <c r="E1044" s="23"/>
      <c r="F1044" s="42"/>
      <c r="G1044" s="42"/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</row>
    <row r="1045">
      <c r="A1045" s="13" t="s">
        <v>2088</v>
      </c>
      <c r="B1045" s="14" t="s">
        <v>2089</v>
      </c>
      <c r="C1045" s="23"/>
      <c r="D1045" s="23"/>
      <c r="E1045" s="23"/>
      <c r="F1045" s="42"/>
      <c r="G1045" s="42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</row>
    <row r="1046">
      <c r="A1046" s="18" t="s">
        <v>2090</v>
      </c>
      <c r="B1046" s="19" t="s">
        <v>2091</v>
      </c>
      <c r="C1046" s="23"/>
      <c r="D1046" s="23"/>
      <c r="E1046" s="23"/>
      <c r="F1046" s="42"/>
      <c r="G1046" s="42"/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</row>
    <row r="1047">
      <c r="A1047" s="22" t="s">
        <v>2092</v>
      </c>
      <c r="B1047" s="14" t="s">
        <v>2093</v>
      </c>
      <c r="C1047" s="23"/>
      <c r="D1047" s="23"/>
      <c r="E1047" s="23"/>
      <c r="F1047" s="42"/>
      <c r="G1047" s="42"/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</row>
    <row r="1048">
      <c r="A1048" s="18" t="s">
        <v>2094</v>
      </c>
      <c r="B1048" s="19" t="s">
        <v>2095</v>
      </c>
      <c r="C1048" s="23"/>
      <c r="D1048" s="23"/>
      <c r="E1048" s="23"/>
      <c r="F1048" s="42"/>
      <c r="G1048" s="42"/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</row>
    <row r="1049">
      <c r="A1049" s="13" t="s">
        <v>2096</v>
      </c>
      <c r="B1049" s="14" t="s">
        <v>2097</v>
      </c>
      <c r="C1049" s="23"/>
      <c r="D1049" s="23"/>
      <c r="E1049" s="23"/>
      <c r="F1049" s="42"/>
      <c r="G1049" s="42"/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</row>
    <row r="1050">
      <c r="A1050" s="18" t="s">
        <v>2098</v>
      </c>
      <c r="B1050" s="19" t="s">
        <v>2099</v>
      </c>
      <c r="C1050" s="23"/>
      <c r="D1050" s="23"/>
      <c r="E1050" s="23"/>
      <c r="F1050" s="42"/>
      <c r="G1050" s="42"/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</row>
    <row r="1051">
      <c r="A1051" s="13" t="s">
        <v>2100</v>
      </c>
      <c r="B1051" s="14" t="s">
        <v>2101</v>
      </c>
      <c r="C1051" s="23"/>
      <c r="D1051" s="23"/>
      <c r="E1051" s="23"/>
      <c r="F1051" s="42"/>
      <c r="G1051" s="42"/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</row>
    <row r="1052">
      <c r="A1052" s="25" t="s">
        <v>2102</v>
      </c>
      <c r="B1052" s="19" t="s">
        <v>2103</v>
      </c>
      <c r="C1052" s="23"/>
      <c r="D1052" s="23"/>
      <c r="E1052" s="23"/>
      <c r="F1052" s="42"/>
      <c r="G1052" s="42"/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</row>
    <row r="1053">
      <c r="A1053" s="13" t="s">
        <v>2104</v>
      </c>
      <c r="B1053" s="26" t="s">
        <v>2105</v>
      </c>
      <c r="C1053" s="23"/>
      <c r="D1053" s="23"/>
      <c r="E1053" s="23"/>
      <c r="F1053" s="42"/>
      <c r="G1053" s="42"/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</row>
    <row r="1054">
      <c r="A1054" s="9" t="s">
        <v>2106</v>
      </c>
      <c r="B1054" s="10" t="s">
        <v>2107</v>
      </c>
      <c r="C1054" s="23"/>
      <c r="D1054" s="23"/>
      <c r="E1054" s="23"/>
      <c r="F1054" s="42"/>
      <c r="G1054" s="42"/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</row>
    <row r="1055">
      <c r="A1055" s="22" t="s">
        <v>2108</v>
      </c>
      <c r="B1055" s="14" t="s">
        <v>2109</v>
      </c>
      <c r="C1055" s="23"/>
      <c r="D1055" s="23"/>
      <c r="E1055" s="23"/>
      <c r="F1055" s="42"/>
      <c r="G1055" s="42"/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</row>
    <row r="1056">
      <c r="A1056" s="18" t="s">
        <v>2110</v>
      </c>
      <c r="B1056" s="19" t="s">
        <v>2111</v>
      </c>
      <c r="C1056" s="23"/>
      <c r="D1056" s="23"/>
      <c r="E1056" s="23"/>
      <c r="F1056" s="42"/>
      <c r="G1056" s="42"/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</row>
    <row r="1057">
      <c r="A1057" s="22" t="s">
        <v>2112</v>
      </c>
      <c r="B1057" s="14" t="s">
        <v>2113</v>
      </c>
      <c r="C1057" s="23"/>
      <c r="D1057" s="23"/>
      <c r="E1057" s="23"/>
      <c r="F1057" s="42"/>
      <c r="G1057" s="42"/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</row>
    <row r="1058">
      <c r="A1058" s="25" t="s">
        <v>2114</v>
      </c>
      <c r="B1058" s="19" t="s">
        <v>2115</v>
      </c>
      <c r="C1058" s="23"/>
      <c r="D1058" s="23"/>
      <c r="E1058" s="23"/>
      <c r="F1058" s="42"/>
      <c r="G1058" s="42"/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</row>
    <row r="1059">
      <c r="A1059" s="13" t="s">
        <v>2116</v>
      </c>
      <c r="B1059" s="14" t="s">
        <v>2117</v>
      </c>
      <c r="C1059" s="23"/>
      <c r="D1059" s="23"/>
      <c r="E1059" s="23"/>
      <c r="F1059" s="42"/>
      <c r="G1059" s="42"/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</row>
    <row r="1060">
      <c r="A1060" s="25" t="s">
        <v>2118</v>
      </c>
      <c r="B1060" s="19" t="s">
        <v>2119</v>
      </c>
      <c r="C1060" s="23"/>
      <c r="D1060" s="23"/>
      <c r="E1060" s="23"/>
      <c r="F1060" s="42"/>
      <c r="G1060" s="42"/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</row>
    <row r="1061">
      <c r="A1061" s="13" t="s">
        <v>2120</v>
      </c>
      <c r="B1061" s="14" t="s">
        <v>2121</v>
      </c>
      <c r="C1061" s="23"/>
      <c r="D1061" s="23"/>
      <c r="E1061" s="23"/>
      <c r="F1061" s="42"/>
      <c r="G1061" s="42"/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</row>
    <row r="1062">
      <c r="A1062" s="18" t="s">
        <v>2122</v>
      </c>
      <c r="B1062" s="19" t="s">
        <v>2123</v>
      </c>
      <c r="C1062" s="23"/>
      <c r="D1062" s="23"/>
      <c r="E1062" s="23"/>
      <c r="F1062" s="42"/>
      <c r="G1062" s="42"/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</row>
    <row r="1063">
      <c r="A1063" s="13" t="s">
        <v>2124</v>
      </c>
      <c r="B1063" s="14" t="s">
        <v>2125</v>
      </c>
      <c r="C1063" s="23"/>
      <c r="D1063" s="23"/>
      <c r="E1063" s="23"/>
      <c r="F1063" s="42"/>
      <c r="G1063" s="42"/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</row>
    <row r="1064">
      <c r="A1064" s="18" t="s">
        <v>2126</v>
      </c>
      <c r="B1064" s="19" t="s">
        <v>2127</v>
      </c>
      <c r="C1064" s="23"/>
      <c r="D1064" s="23"/>
      <c r="E1064" s="23"/>
      <c r="F1064" s="42"/>
      <c r="G1064" s="42"/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</row>
    <row r="1065">
      <c r="A1065" s="13" t="s">
        <v>2128</v>
      </c>
      <c r="B1065" s="14" t="s">
        <v>2129</v>
      </c>
      <c r="C1065" s="23"/>
      <c r="D1065" s="23"/>
      <c r="E1065" s="23"/>
      <c r="F1065" s="42"/>
      <c r="G1065" s="42"/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</row>
    <row r="1066">
      <c r="A1066" s="18" t="s">
        <v>2130</v>
      </c>
      <c r="B1066" s="19" t="s">
        <v>2131</v>
      </c>
      <c r="C1066" s="23"/>
      <c r="D1066" s="23"/>
      <c r="E1066" s="23"/>
      <c r="F1066" s="42"/>
      <c r="G1066" s="42"/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</row>
    <row r="1067">
      <c r="A1067" s="13" t="s">
        <v>2132</v>
      </c>
      <c r="B1067" s="14" t="s">
        <v>2133</v>
      </c>
      <c r="C1067" s="23"/>
      <c r="D1067" s="23"/>
      <c r="E1067" s="23"/>
      <c r="F1067" s="42"/>
      <c r="G1067" s="42"/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</row>
    <row r="1068">
      <c r="A1068" s="9" t="s">
        <v>2134</v>
      </c>
      <c r="B1068" s="10" t="s">
        <v>2135</v>
      </c>
      <c r="C1068" s="23"/>
      <c r="D1068" s="23"/>
      <c r="E1068" s="23"/>
      <c r="F1068" s="42"/>
      <c r="G1068" s="42"/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</row>
    <row r="1069">
      <c r="A1069" s="22" t="s">
        <v>2136</v>
      </c>
      <c r="B1069" s="14" t="s">
        <v>2137</v>
      </c>
      <c r="C1069" s="23"/>
      <c r="D1069" s="23"/>
      <c r="E1069" s="23"/>
      <c r="F1069" s="42"/>
      <c r="G1069" s="42"/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</row>
    <row r="1070">
      <c r="A1070" s="18" t="s">
        <v>2138</v>
      </c>
      <c r="B1070" s="19" t="s">
        <v>2139</v>
      </c>
      <c r="C1070" s="23"/>
      <c r="D1070" s="23"/>
      <c r="E1070" s="23"/>
      <c r="F1070" s="42"/>
      <c r="G1070" s="42"/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</row>
    <row r="1071">
      <c r="A1071" s="13" t="s">
        <v>2140</v>
      </c>
      <c r="B1071" s="26" t="s">
        <v>2141</v>
      </c>
      <c r="C1071" s="23"/>
      <c r="D1071" s="23"/>
      <c r="E1071" s="23"/>
      <c r="F1071" s="42"/>
      <c r="G1071" s="42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</row>
    <row r="1072">
      <c r="A1072" s="9" t="s">
        <v>2142</v>
      </c>
      <c r="B1072" s="10" t="s">
        <v>2143</v>
      </c>
      <c r="C1072" s="23"/>
      <c r="D1072" s="23"/>
      <c r="E1072" s="23"/>
      <c r="F1072" s="42"/>
      <c r="G1072" s="42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</row>
    <row r="1073">
      <c r="A1073" s="44" t="s">
        <v>2144</v>
      </c>
      <c r="B1073" s="45" t="s">
        <v>2145</v>
      </c>
      <c r="C1073" s="23"/>
      <c r="D1073" s="23"/>
      <c r="E1073" s="23"/>
      <c r="F1073" s="42"/>
      <c r="G1073" s="42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</row>
    <row r="1074">
      <c r="A1074" s="25" t="s">
        <v>2146</v>
      </c>
      <c r="B1074" s="19" t="s">
        <v>2147</v>
      </c>
      <c r="C1074" s="23"/>
      <c r="D1074" s="23"/>
      <c r="E1074" s="23"/>
      <c r="F1074" s="42"/>
      <c r="G1074" s="42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</row>
    <row r="1075">
      <c r="A1075" s="13" t="s">
        <v>2148</v>
      </c>
      <c r="B1075" s="14" t="s">
        <v>2149</v>
      </c>
      <c r="C1075" s="23"/>
      <c r="D1075" s="23"/>
      <c r="E1075" s="23"/>
      <c r="F1075" s="42"/>
      <c r="G1075" s="42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</row>
    <row r="1076">
      <c r="A1076" s="18" t="s">
        <v>2150</v>
      </c>
      <c r="B1076" s="33" t="s">
        <v>2151</v>
      </c>
      <c r="C1076" s="23"/>
      <c r="D1076" s="23"/>
      <c r="E1076" s="23"/>
      <c r="F1076" s="42"/>
      <c r="G1076" s="42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</row>
    <row r="1077">
      <c r="A1077" s="13" t="s">
        <v>2152</v>
      </c>
      <c r="B1077" s="14" t="s">
        <v>2153</v>
      </c>
      <c r="C1077" s="23"/>
      <c r="D1077" s="23"/>
      <c r="E1077" s="23"/>
      <c r="F1077" s="42"/>
      <c r="G1077" s="42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</row>
    <row r="1078">
      <c r="A1078" s="25" t="s">
        <v>2154</v>
      </c>
      <c r="B1078" s="19" t="s">
        <v>2155</v>
      </c>
      <c r="C1078" s="23"/>
      <c r="D1078" s="23"/>
      <c r="E1078" s="23"/>
      <c r="F1078" s="42"/>
      <c r="G1078" s="42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</row>
    <row r="1079">
      <c r="A1079" s="13" t="s">
        <v>2156</v>
      </c>
      <c r="B1079" s="14" t="s">
        <v>2157</v>
      </c>
      <c r="C1079" s="23"/>
      <c r="D1079" s="23"/>
      <c r="E1079" s="23"/>
      <c r="F1079" s="42"/>
      <c r="G1079" s="42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</row>
    <row r="1080">
      <c r="A1080" s="18" t="s">
        <v>2158</v>
      </c>
      <c r="B1080" s="19" t="s">
        <v>2159</v>
      </c>
      <c r="C1080" s="23"/>
      <c r="D1080" s="23"/>
      <c r="E1080" s="23"/>
      <c r="F1080" s="42"/>
      <c r="G1080" s="42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</row>
    <row r="1081">
      <c r="A1081" s="13" t="s">
        <v>2160</v>
      </c>
      <c r="B1081" s="14" t="s">
        <v>2161</v>
      </c>
      <c r="C1081" s="23"/>
      <c r="D1081" s="23"/>
      <c r="E1081" s="23"/>
      <c r="F1081" s="42"/>
      <c r="G1081" s="42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</row>
    <row r="1082">
      <c r="A1082" s="18" t="s">
        <v>2162</v>
      </c>
      <c r="B1082" s="33" t="s">
        <v>2163</v>
      </c>
      <c r="C1082" s="23"/>
      <c r="D1082" s="23"/>
      <c r="E1082" s="23"/>
      <c r="F1082" s="42"/>
      <c r="G1082" s="42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</row>
    <row r="1083">
      <c r="A1083" s="22" t="s">
        <v>2164</v>
      </c>
      <c r="B1083" s="14" t="s">
        <v>2165</v>
      </c>
      <c r="C1083" s="23"/>
      <c r="D1083" s="23"/>
      <c r="E1083" s="23"/>
      <c r="F1083" s="42"/>
      <c r="G1083" s="42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</row>
    <row r="1084">
      <c r="A1084" s="25" t="s">
        <v>2166</v>
      </c>
      <c r="B1084" s="19" t="s">
        <v>2167</v>
      </c>
      <c r="C1084" s="23"/>
      <c r="D1084" s="23"/>
      <c r="E1084" s="23"/>
      <c r="F1084" s="42"/>
      <c r="G1084" s="42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</row>
    <row r="1085">
      <c r="A1085" s="22" t="s">
        <v>2168</v>
      </c>
      <c r="B1085" s="14" t="s">
        <v>2169</v>
      </c>
      <c r="C1085" s="23"/>
      <c r="D1085" s="23"/>
      <c r="E1085" s="23"/>
      <c r="F1085" s="42"/>
      <c r="G1085" s="42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</row>
    <row r="1086">
      <c r="A1086" s="9" t="s">
        <v>2170</v>
      </c>
      <c r="B1086" s="10" t="s">
        <v>2171</v>
      </c>
      <c r="C1086" s="23"/>
      <c r="D1086" s="23"/>
      <c r="E1086" s="23"/>
      <c r="F1086" s="42"/>
      <c r="G1086" s="42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</row>
    <row r="1087">
      <c r="A1087" s="22" t="s">
        <v>2172</v>
      </c>
      <c r="B1087" s="14" t="s">
        <v>2173</v>
      </c>
      <c r="C1087" s="23"/>
      <c r="D1087" s="23"/>
      <c r="E1087" s="23"/>
      <c r="F1087" s="42"/>
      <c r="G1087" s="42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</row>
    <row r="1088">
      <c r="A1088" s="18" t="s">
        <v>2174</v>
      </c>
      <c r="B1088" s="19" t="s">
        <v>2175</v>
      </c>
      <c r="C1088" s="23"/>
      <c r="D1088" s="23"/>
      <c r="E1088" s="23"/>
      <c r="F1088" s="42"/>
      <c r="G1088" s="42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</row>
    <row r="1089">
      <c r="A1089" s="13" t="s">
        <v>2176</v>
      </c>
      <c r="B1089" s="14" t="s">
        <v>2177</v>
      </c>
      <c r="C1089" s="23"/>
      <c r="D1089" s="23"/>
      <c r="E1089" s="23"/>
      <c r="F1089" s="42"/>
      <c r="G1089" s="42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</row>
    <row r="1090">
      <c r="A1090" s="25" t="s">
        <v>2178</v>
      </c>
      <c r="B1090" s="19" t="s">
        <v>2179</v>
      </c>
      <c r="C1090" s="23"/>
      <c r="D1090" s="23"/>
      <c r="E1090" s="23"/>
      <c r="F1090" s="42"/>
      <c r="G1090" s="42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</row>
    <row r="1091">
      <c r="A1091" s="22" t="s">
        <v>2180</v>
      </c>
      <c r="B1091" s="14" t="s">
        <v>2181</v>
      </c>
      <c r="C1091" s="23"/>
      <c r="D1091" s="23"/>
      <c r="E1091" s="23"/>
      <c r="F1091" s="42"/>
      <c r="G1091" s="42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</row>
    <row r="1092">
      <c r="A1092" s="18" t="s">
        <v>2182</v>
      </c>
      <c r="B1092" s="19" t="s">
        <v>2183</v>
      </c>
      <c r="C1092" s="23"/>
      <c r="D1092" s="23"/>
      <c r="E1092" s="23"/>
      <c r="F1092" s="42"/>
      <c r="G1092" s="42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</row>
    <row r="1093">
      <c r="A1093" s="22" t="s">
        <v>2184</v>
      </c>
      <c r="B1093" s="14" t="s">
        <v>2185</v>
      </c>
      <c r="C1093" s="23"/>
      <c r="D1093" s="23"/>
      <c r="E1093" s="23"/>
      <c r="F1093" s="42"/>
      <c r="G1093" s="42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</row>
    <row r="1094">
      <c r="A1094" s="25" t="s">
        <v>2186</v>
      </c>
      <c r="B1094" s="19" t="s">
        <v>2187</v>
      </c>
      <c r="C1094" s="23"/>
      <c r="D1094" s="23"/>
      <c r="E1094" s="23"/>
      <c r="F1094" s="42"/>
      <c r="G1094" s="42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</row>
    <row r="1095">
      <c r="A1095" s="22" t="s">
        <v>2188</v>
      </c>
      <c r="B1095" s="14" t="s">
        <v>2189</v>
      </c>
      <c r="C1095" s="23"/>
      <c r="D1095" s="23"/>
      <c r="E1095" s="23"/>
      <c r="F1095" s="42"/>
      <c r="G1095" s="42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</row>
    <row r="1096">
      <c r="A1096" s="18" t="s">
        <v>2190</v>
      </c>
      <c r="B1096" s="19" t="s">
        <v>2191</v>
      </c>
      <c r="C1096" s="23"/>
      <c r="D1096" s="23"/>
      <c r="E1096" s="23"/>
      <c r="F1096" s="42"/>
      <c r="G1096" s="42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</row>
    <row r="1097">
      <c r="A1097" s="13" t="s">
        <v>2192</v>
      </c>
      <c r="B1097" s="14" t="s">
        <v>2193</v>
      </c>
      <c r="C1097" s="23"/>
      <c r="D1097" s="23"/>
      <c r="E1097" s="23"/>
      <c r="F1097" s="42"/>
      <c r="G1097" s="42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</row>
    <row r="1098">
      <c r="A1098" s="18" t="s">
        <v>2194</v>
      </c>
      <c r="B1098" s="19" t="s">
        <v>2195</v>
      </c>
      <c r="C1098" s="23"/>
      <c r="D1098" s="23"/>
      <c r="E1098" s="23"/>
      <c r="F1098" s="42"/>
      <c r="G1098" s="42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</row>
    <row r="1099">
      <c r="A1099" s="13" t="s">
        <v>2196</v>
      </c>
      <c r="B1099" s="14" t="s">
        <v>2197</v>
      </c>
      <c r="C1099" s="23"/>
      <c r="D1099" s="23"/>
      <c r="E1099" s="23"/>
      <c r="F1099" s="42"/>
      <c r="G1099" s="42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</row>
    <row r="1100">
      <c r="A1100" s="18" t="s">
        <v>2198</v>
      </c>
      <c r="B1100" s="19" t="s">
        <v>2199</v>
      </c>
      <c r="C1100" s="23"/>
      <c r="D1100" s="23"/>
      <c r="E1100" s="23"/>
      <c r="F1100" s="42"/>
      <c r="G1100" s="42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</row>
    <row r="1101">
      <c r="A1101" s="13" t="s">
        <v>2200</v>
      </c>
      <c r="B1101" s="14" t="s">
        <v>2201</v>
      </c>
      <c r="C1101" s="23"/>
      <c r="D1101" s="23"/>
      <c r="E1101" s="23"/>
      <c r="F1101" s="42"/>
      <c r="G1101" s="42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</row>
    <row r="1102">
      <c r="A1102" s="25" t="s">
        <v>2202</v>
      </c>
      <c r="B1102" s="19" t="s">
        <v>2203</v>
      </c>
      <c r="C1102" s="23"/>
      <c r="D1102" s="23"/>
      <c r="E1102" s="23"/>
      <c r="F1102" s="42"/>
      <c r="G1102" s="42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</row>
    <row r="1103">
      <c r="A1103" s="13" t="s">
        <v>2204</v>
      </c>
      <c r="B1103" s="14" t="s">
        <v>2205</v>
      </c>
      <c r="C1103" s="23"/>
      <c r="D1103" s="23"/>
      <c r="E1103" s="23"/>
      <c r="F1103" s="42"/>
      <c r="G1103" s="42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</row>
    <row r="1104">
      <c r="A1104" s="25" t="s">
        <v>2206</v>
      </c>
      <c r="B1104" s="19" t="s">
        <v>2207</v>
      </c>
      <c r="C1104" s="23"/>
      <c r="D1104" s="23"/>
      <c r="E1104" s="23"/>
      <c r="F1104" s="42"/>
      <c r="G1104" s="42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</row>
    <row r="1105">
      <c r="A1105" s="22" t="s">
        <v>2208</v>
      </c>
      <c r="B1105" s="14" t="s">
        <v>2209</v>
      </c>
      <c r="C1105" s="23"/>
      <c r="D1105" s="23"/>
      <c r="E1105" s="23"/>
      <c r="F1105" s="42"/>
      <c r="G1105" s="42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</row>
    <row r="1106">
      <c r="A1106" s="25" t="s">
        <v>2210</v>
      </c>
      <c r="B1106" s="19" t="s">
        <v>2211</v>
      </c>
      <c r="C1106" s="23"/>
      <c r="D1106" s="23"/>
      <c r="E1106" s="23"/>
      <c r="F1106" s="42"/>
      <c r="G1106" s="42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</row>
    <row r="1107">
      <c r="A1107" s="44" t="s">
        <v>2212</v>
      </c>
      <c r="B1107" s="45" t="s">
        <v>2213</v>
      </c>
      <c r="C1107" s="23"/>
      <c r="D1107" s="23"/>
      <c r="E1107" s="23"/>
      <c r="F1107" s="42"/>
      <c r="G1107" s="42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</row>
    <row r="1108">
      <c r="A1108" s="18" t="s">
        <v>2214</v>
      </c>
      <c r="B1108" s="19" t="s">
        <v>2215</v>
      </c>
      <c r="C1108" s="23"/>
      <c r="D1108" s="23"/>
      <c r="E1108" s="23"/>
      <c r="F1108" s="42"/>
      <c r="G1108" s="42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</row>
    <row r="1109">
      <c r="A1109" s="13" t="s">
        <v>2216</v>
      </c>
      <c r="B1109" s="14" t="s">
        <v>2217</v>
      </c>
      <c r="C1109" s="23"/>
      <c r="D1109" s="23"/>
      <c r="E1109" s="23"/>
      <c r="F1109" s="42"/>
      <c r="G1109" s="42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</row>
    <row r="1110">
      <c r="A1110" s="18" t="s">
        <v>2218</v>
      </c>
      <c r="B1110" s="19" t="s">
        <v>2219</v>
      </c>
      <c r="C1110" s="23"/>
      <c r="D1110" s="23"/>
      <c r="E1110" s="23"/>
      <c r="F1110" s="42"/>
      <c r="G1110" s="42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</row>
    <row r="1111">
      <c r="A1111" s="22" t="s">
        <v>2220</v>
      </c>
      <c r="B1111" s="14" t="s">
        <v>2221</v>
      </c>
      <c r="C1111" s="23"/>
      <c r="D1111" s="23"/>
      <c r="E1111" s="23"/>
      <c r="F1111" s="42"/>
      <c r="G1111" s="42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</row>
    <row r="1112">
      <c r="A1112" s="18" t="s">
        <v>2222</v>
      </c>
      <c r="B1112" s="19" t="s">
        <v>2223</v>
      </c>
      <c r="C1112" s="23"/>
      <c r="D1112" s="23"/>
      <c r="E1112" s="23"/>
      <c r="F1112" s="42"/>
      <c r="G1112" s="42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</row>
    <row r="1113">
      <c r="A1113" s="13" t="s">
        <v>2224</v>
      </c>
      <c r="B1113" s="14" t="s">
        <v>2225</v>
      </c>
      <c r="C1113" s="23"/>
      <c r="D1113" s="23"/>
      <c r="E1113" s="23"/>
      <c r="F1113" s="42"/>
      <c r="G1113" s="42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</row>
    <row r="1114">
      <c r="A1114" s="18" t="s">
        <v>2226</v>
      </c>
      <c r="B1114" s="19" t="s">
        <v>2227</v>
      </c>
      <c r="C1114" s="23"/>
      <c r="D1114" s="23"/>
      <c r="E1114" s="23"/>
      <c r="F1114" s="42"/>
      <c r="G1114" s="42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</row>
    <row r="1115">
      <c r="A1115" s="13" t="s">
        <v>2228</v>
      </c>
      <c r="B1115" s="14" t="s">
        <v>2229</v>
      </c>
      <c r="C1115" s="23"/>
      <c r="D1115" s="23"/>
      <c r="E1115" s="23"/>
      <c r="F1115" s="42"/>
      <c r="G1115" s="42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</row>
    <row r="1116">
      <c r="A1116" s="18" t="s">
        <v>2230</v>
      </c>
      <c r="B1116" s="19" t="s">
        <v>2231</v>
      </c>
      <c r="C1116" s="23"/>
      <c r="D1116" s="23"/>
      <c r="E1116" s="23"/>
      <c r="F1116" s="42"/>
      <c r="G1116" s="42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</row>
    <row r="1117">
      <c r="A1117" s="22" t="s">
        <v>2232</v>
      </c>
      <c r="B1117" s="14" t="s">
        <v>2233</v>
      </c>
      <c r="C1117" s="23"/>
      <c r="D1117" s="23"/>
      <c r="E1117" s="23"/>
      <c r="F1117" s="42"/>
      <c r="G1117" s="42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</row>
    <row r="1118">
      <c r="A1118" s="18" t="s">
        <v>2234</v>
      </c>
      <c r="B1118" s="19" t="s">
        <v>2235</v>
      </c>
      <c r="C1118" s="23"/>
      <c r="D1118" s="23"/>
      <c r="E1118" s="23"/>
      <c r="F1118" s="42"/>
      <c r="G1118" s="42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</row>
    <row r="1119">
      <c r="A1119" s="22" t="s">
        <v>2236</v>
      </c>
      <c r="B1119" s="14" t="s">
        <v>2237</v>
      </c>
      <c r="C1119" s="23"/>
      <c r="D1119" s="23"/>
      <c r="E1119" s="23"/>
      <c r="F1119" s="42"/>
      <c r="G1119" s="42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</row>
    <row r="1120">
      <c r="A1120" s="25" t="s">
        <v>2238</v>
      </c>
      <c r="B1120" s="19" t="s">
        <v>2239</v>
      </c>
      <c r="C1120" s="23"/>
      <c r="D1120" s="23"/>
      <c r="E1120" s="23"/>
      <c r="F1120" s="42"/>
      <c r="G1120" s="42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</row>
    <row r="1121">
      <c r="A1121" s="13" t="s">
        <v>2240</v>
      </c>
      <c r="B1121" s="14" t="s">
        <v>2241</v>
      </c>
      <c r="C1121" s="23"/>
      <c r="D1121" s="23"/>
      <c r="E1121" s="23"/>
      <c r="F1121" s="42"/>
      <c r="G1121" s="42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</row>
    <row r="1122">
      <c r="A1122" s="18" t="s">
        <v>2242</v>
      </c>
      <c r="B1122" s="19" t="s">
        <v>2243</v>
      </c>
      <c r="C1122" s="23"/>
      <c r="D1122" s="23"/>
      <c r="E1122" s="23"/>
      <c r="F1122" s="42"/>
      <c r="G1122" s="42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</row>
    <row r="1123">
      <c r="A1123" s="22" t="s">
        <v>2244</v>
      </c>
      <c r="B1123" s="14" t="s">
        <v>2245</v>
      </c>
      <c r="C1123" s="23"/>
      <c r="D1123" s="23"/>
      <c r="E1123" s="23"/>
      <c r="F1123" s="42"/>
      <c r="G1123" s="42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</row>
    <row r="1124">
      <c r="A1124" s="18" t="s">
        <v>2246</v>
      </c>
      <c r="B1124" s="33" t="s">
        <v>2247</v>
      </c>
      <c r="C1124" s="23"/>
      <c r="D1124" s="23"/>
      <c r="E1124" s="23"/>
      <c r="F1124" s="42"/>
      <c r="G1124" s="42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</row>
    <row r="1125">
      <c r="A1125" s="13" t="s">
        <v>2248</v>
      </c>
      <c r="B1125" s="14" t="s">
        <v>2249</v>
      </c>
      <c r="C1125" s="23"/>
      <c r="D1125" s="23"/>
      <c r="E1125" s="23"/>
      <c r="F1125" s="42"/>
      <c r="G1125" s="42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</row>
    <row r="1126">
      <c r="A1126" s="25" t="s">
        <v>2250</v>
      </c>
      <c r="B1126" s="19" t="s">
        <v>2251</v>
      </c>
      <c r="C1126" s="23"/>
      <c r="D1126" s="23"/>
      <c r="E1126" s="23"/>
      <c r="F1126" s="42"/>
      <c r="G1126" s="42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</row>
    <row r="1127">
      <c r="A1127" s="13" t="s">
        <v>2252</v>
      </c>
      <c r="B1127" s="14" t="s">
        <v>2253</v>
      </c>
      <c r="C1127" s="23"/>
      <c r="D1127" s="23"/>
      <c r="E1127" s="23"/>
      <c r="F1127" s="42"/>
      <c r="G1127" s="42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</row>
    <row r="1128">
      <c r="A1128" s="25" t="s">
        <v>2254</v>
      </c>
      <c r="B1128" s="19" t="s">
        <v>2255</v>
      </c>
      <c r="C1128" s="23"/>
      <c r="D1128" s="23"/>
      <c r="E1128" s="23"/>
      <c r="F1128" s="42"/>
      <c r="G1128" s="42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</row>
    <row r="1129">
      <c r="A1129" s="13" t="s">
        <v>2256</v>
      </c>
      <c r="B1129" s="14" t="s">
        <v>2257</v>
      </c>
      <c r="C1129" s="23"/>
      <c r="D1129" s="23"/>
      <c r="E1129" s="23"/>
      <c r="F1129" s="42"/>
      <c r="G1129" s="42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</row>
    <row r="1130">
      <c r="A1130" s="18" t="s">
        <v>2258</v>
      </c>
      <c r="B1130" s="19" t="s">
        <v>2259</v>
      </c>
      <c r="C1130" s="23"/>
      <c r="D1130" s="23"/>
      <c r="E1130" s="23"/>
      <c r="F1130" s="42"/>
      <c r="G1130" s="42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</row>
    <row r="1131">
      <c r="A1131" s="13" t="s">
        <v>2260</v>
      </c>
      <c r="B1131" s="26" t="s">
        <v>2261</v>
      </c>
      <c r="C1131" s="23"/>
      <c r="D1131" s="23"/>
      <c r="E1131" s="23"/>
      <c r="F1131" s="42"/>
      <c r="G1131" s="42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</row>
    <row r="1132">
      <c r="A1132" s="18" t="s">
        <v>2262</v>
      </c>
      <c r="B1132" s="19" t="s">
        <v>2263</v>
      </c>
      <c r="C1132" s="23"/>
      <c r="D1132" s="23"/>
      <c r="E1132" s="23"/>
      <c r="F1132" s="42"/>
      <c r="G1132" s="42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</row>
    <row r="1133">
      <c r="A1133" s="13" t="s">
        <v>2264</v>
      </c>
      <c r="B1133" s="14" t="s">
        <v>2265</v>
      </c>
      <c r="C1133" s="23"/>
      <c r="D1133" s="23"/>
      <c r="E1133" s="23"/>
      <c r="F1133" s="42"/>
      <c r="G1133" s="42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</row>
    <row r="1134">
      <c r="A1134" s="25" t="s">
        <v>2266</v>
      </c>
      <c r="B1134" s="19" t="s">
        <v>2267</v>
      </c>
      <c r="C1134" s="23"/>
      <c r="D1134" s="23"/>
      <c r="E1134" s="23"/>
      <c r="F1134" s="42"/>
      <c r="G1134" s="42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</row>
    <row r="1135">
      <c r="A1135" s="13" t="s">
        <v>2268</v>
      </c>
      <c r="B1135" s="14" t="s">
        <v>2269</v>
      </c>
      <c r="C1135" s="23"/>
      <c r="D1135" s="23"/>
      <c r="E1135" s="23"/>
      <c r="F1135" s="42"/>
      <c r="G1135" s="42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</row>
    <row r="1136">
      <c r="A1136" s="18" t="s">
        <v>2270</v>
      </c>
      <c r="B1136" s="19" t="s">
        <v>2271</v>
      </c>
      <c r="C1136" s="23"/>
      <c r="D1136" s="23"/>
      <c r="E1136" s="23"/>
      <c r="F1136" s="42"/>
      <c r="G1136" s="42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</row>
    <row r="1137">
      <c r="A1137" s="13" t="s">
        <v>2272</v>
      </c>
      <c r="B1137" s="14" t="s">
        <v>2273</v>
      </c>
      <c r="C1137" s="23"/>
      <c r="D1137" s="23"/>
      <c r="E1137" s="23"/>
      <c r="F1137" s="42"/>
      <c r="G1137" s="42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</row>
    <row r="1138">
      <c r="A1138" s="18" t="s">
        <v>2274</v>
      </c>
      <c r="B1138" s="19" t="s">
        <v>2275</v>
      </c>
      <c r="C1138" s="23"/>
      <c r="D1138" s="23"/>
      <c r="E1138" s="23"/>
      <c r="F1138" s="42"/>
      <c r="G1138" s="42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</row>
    <row r="1139">
      <c r="A1139" s="13" t="s">
        <v>2276</v>
      </c>
      <c r="B1139" s="26" t="s">
        <v>2277</v>
      </c>
      <c r="C1139" s="23"/>
      <c r="D1139" s="23"/>
      <c r="E1139" s="23"/>
      <c r="F1139" s="42"/>
      <c r="G1139" s="42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</row>
    <row r="1140">
      <c r="A1140" s="9" t="s">
        <v>2278</v>
      </c>
      <c r="B1140" s="10" t="s">
        <v>2279</v>
      </c>
      <c r="C1140" s="23"/>
      <c r="D1140" s="23"/>
      <c r="E1140" s="23"/>
      <c r="F1140" s="42"/>
      <c r="G1140" s="42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</row>
    <row r="1141">
      <c r="A1141" s="13" t="s">
        <v>2280</v>
      </c>
      <c r="B1141" s="14" t="s">
        <v>2281</v>
      </c>
      <c r="C1141" s="23"/>
      <c r="D1141" s="23"/>
      <c r="E1141" s="23"/>
      <c r="F1141" s="42"/>
      <c r="G1141" s="42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</row>
    <row r="1142">
      <c r="A1142" s="25" t="s">
        <v>2282</v>
      </c>
      <c r="B1142" s="19" t="s">
        <v>2283</v>
      </c>
      <c r="C1142" s="23"/>
      <c r="D1142" s="23"/>
      <c r="E1142" s="23"/>
      <c r="F1142" s="42"/>
      <c r="G1142" s="42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</row>
    <row r="1143">
      <c r="A1143" s="22" t="s">
        <v>2284</v>
      </c>
      <c r="B1143" s="14" t="s">
        <v>2285</v>
      </c>
      <c r="C1143" s="23"/>
      <c r="D1143" s="23"/>
      <c r="E1143" s="23"/>
      <c r="F1143" s="42"/>
      <c r="G1143" s="42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</row>
    <row r="1144">
      <c r="A1144" s="18" t="s">
        <v>2286</v>
      </c>
      <c r="B1144" s="19" t="s">
        <v>2287</v>
      </c>
      <c r="C1144" s="23"/>
      <c r="D1144" s="23"/>
      <c r="E1144" s="23"/>
      <c r="F1144" s="42"/>
      <c r="G1144" s="42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</row>
    <row r="1145">
      <c r="A1145" s="13" t="s">
        <v>2288</v>
      </c>
      <c r="B1145" s="14" t="s">
        <v>2289</v>
      </c>
      <c r="C1145" s="23"/>
      <c r="D1145" s="23"/>
      <c r="E1145" s="23"/>
      <c r="F1145" s="42"/>
      <c r="G1145" s="42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</row>
    <row r="1146">
      <c r="A1146" s="18" t="s">
        <v>2290</v>
      </c>
      <c r="B1146" s="19" t="s">
        <v>2291</v>
      </c>
      <c r="C1146" s="23"/>
      <c r="D1146" s="23"/>
      <c r="E1146" s="23"/>
      <c r="F1146" s="42"/>
      <c r="G1146" s="42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</row>
    <row r="1147">
      <c r="A1147" s="13" t="s">
        <v>2292</v>
      </c>
      <c r="B1147" s="26" t="s">
        <v>2293</v>
      </c>
      <c r="C1147" s="23"/>
      <c r="D1147" s="23"/>
      <c r="E1147" s="23"/>
      <c r="F1147" s="42"/>
      <c r="G1147" s="42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</row>
    <row r="1148">
      <c r="A1148" s="25" t="s">
        <v>2294</v>
      </c>
      <c r="B1148" s="19" t="s">
        <v>2295</v>
      </c>
      <c r="C1148" s="23"/>
      <c r="D1148" s="23"/>
      <c r="E1148" s="23"/>
      <c r="F1148" s="42"/>
      <c r="G1148" s="42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</row>
    <row r="1149">
      <c r="A1149" s="13" t="s">
        <v>2296</v>
      </c>
      <c r="B1149" s="26" t="s">
        <v>2297</v>
      </c>
      <c r="C1149" s="23"/>
      <c r="D1149" s="23"/>
      <c r="E1149" s="23"/>
      <c r="F1149" s="42"/>
      <c r="G1149" s="42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</row>
    <row r="1150">
      <c r="A1150" s="18" t="s">
        <v>2298</v>
      </c>
      <c r="B1150" s="19" t="s">
        <v>2299</v>
      </c>
      <c r="C1150" s="23"/>
      <c r="D1150" s="23"/>
      <c r="E1150" s="23"/>
      <c r="F1150" s="42"/>
      <c r="G1150" s="42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</row>
    <row r="1151">
      <c r="A1151" s="13" t="s">
        <v>2300</v>
      </c>
      <c r="B1151" s="14" t="s">
        <v>2301</v>
      </c>
      <c r="C1151" s="23"/>
      <c r="D1151" s="23"/>
      <c r="E1151" s="23"/>
      <c r="F1151" s="42"/>
      <c r="G1151" s="42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</row>
    <row r="1152">
      <c r="A1152" s="18" t="s">
        <v>2302</v>
      </c>
      <c r="B1152" s="33" t="s">
        <v>2303</v>
      </c>
      <c r="C1152" s="23"/>
      <c r="D1152" s="23"/>
      <c r="E1152" s="23"/>
      <c r="F1152" s="42"/>
      <c r="G1152" s="42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</row>
    <row r="1153">
      <c r="A1153" s="22" t="s">
        <v>2304</v>
      </c>
      <c r="B1153" s="14" t="s">
        <v>2305</v>
      </c>
      <c r="C1153" s="23"/>
      <c r="D1153" s="23"/>
      <c r="E1153" s="23"/>
      <c r="F1153" s="42"/>
      <c r="G1153" s="42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</row>
    <row r="1154">
      <c r="A1154" s="18" t="s">
        <v>2306</v>
      </c>
      <c r="B1154" s="19" t="s">
        <v>2307</v>
      </c>
      <c r="C1154" s="23"/>
      <c r="D1154" s="23"/>
      <c r="E1154" s="23"/>
      <c r="F1154" s="42"/>
      <c r="G1154" s="42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</row>
    <row r="1155">
      <c r="A1155" s="22" t="s">
        <v>2308</v>
      </c>
      <c r="B1155" s="14" t="s">
        <v>2309</v>
      </c>
      <c r="C1155" s="23"/>
      <c r="D1155" s="23"/>
      <c r="E1155" s="23"/>
      <c r="F1155" s="42"/>
      <c r="G1155" s="42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</row>
    <row r="1156">
      <c r="A1156" s="9" t="s">
        <v>2310</v>
      </c>
      <c r="B1156" s="10" t="s">
        <v>2311</v>
      </c>
      <c r="C1156" s="23"/>
      <c r="D1156" s="23"/>
      <c r="E1156" s="23"/>
      <c r="F1156" s="42"/>
      <c r="G1156" s="42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</row>
    <row r="1157">
      <c r="A1157" s="55" t="s">
        <v>2312</v>
      </c>
      <c r="B1157" s="56" t="s">
        <v>2313</v>
      </c>
      <c r="C1157" s="23"/>
      <c r="D1157" s="23"/>
      <c r="E1157" s="23"/>
      <c r="F1157" s="42"/>
      <c r="G1157" s="42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</row>
    <row r="1158">
      <c r="A1158" s="18" t="s">
        <v>2314</v>
      </c>
      <c r="B1158" s="33" t="s">
        <v>2315</v>
      </c>
      <c r="C1158" s="23"/>
      <c r="D1158" s="23"/>
      <c r="E1158" s="23"/>
      <c r="F1158" s="42"/>
      <c r="G1158" s="42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</row>
    <row r="1159">
      <c r="A1159" s="22" t="s">
        <v>2316</v>
      </c>
      <c r="B1159" s="14" t="s">
        <v>2317</v>
      </c>
      <c r="C1159" s="23"/>
      <c r="D1159" s="23"/>
      <c r="E1159" s="23"/>
      <c r="F1159" s="42"/>
      <c r="G1159" s="42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</row>
    <row r="1160">
      <c r="A1160" s="18" t="s">
        <v>2318</v>
      </c>
      <c r="B1160" s="33" t="s">
        <v>2319</v>
      </c>
      <c r="C1160" s="23"/>
      <c r="D1160" s="23"/>
      <c r="E1160" s="23"/>
      <c r="F1160" s="42"/>
      <c r="G1160" s="42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</row>
    <row r="1161">
      <c r="A1161" s="22" t="s">
        <v>2320</v>
      </c>
      <c r="B1161" s="14" t="s">
        <v>2321</v>
      </c>
      <c r="C1161" s="23"/>
      <c r="D1161" s="23"/>
      <c r="E1161" s="23"/>
      <c r="F1161" s="42"/>
      <c r="G1161" s="42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</row>
    <row r="1162">
      <c r="A1162" s="25" t="s">
        <v>2322</v>
      </c>
      <c r="B1162" s="19" t="s">
        <v>2323</v>
      </c>
      <c r="C1162" s="23"/>
      <c r="D1162" s="23"/>
      <c r="E1162" s="23"/>
      <c r="F1162" s="42"/>
      <c r="G1162" s="42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</row>
    <row r="1163">
      <c r="A1163" s="13" t="s">
        <v>2324</v>
      </c>
      <c r="B1163" s="14" t="s">
        <v>2325</v>
      </c>
      <c r="C1163" s="23"/>
      <c r="D1163" s="23"/>
      <c r="E1163" s="23"/>
      <c r="F1163" s="42"/>
      <c r="G1163" s="42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</row>
    <row r="1164">
      <c r="A1164" s="25" t="s">
        <v>2326</v>
      </c>
      <c r="B1164" s="19" t="s">
        <v>2327</v>
      </c>
      <c r="C1164" s="23"/>
      <c r="D1164" s="23"/>
      <c r="E1164" s="23"/>
      <c r="F1164" s="42"/>
      <c r="G1164" s="42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</row>
    <row r="1165">
      <c r="A1165" s="22" t="s">
        <v>2328</v>
      </c>
      <c r="B1165" s="14" t="s">
        <v>2329</v>
      </c>
      <c r="C1165" s="23"/>
      <c r="D1165" s="23"/>
      <c r="E1165" s="23"/>
      <c r="F1165" s="42"/>
      <c r="G1165" s="42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</row>
    <row r="1166">
      <c r="A1166" s="25" t="s">
        <v>2330</v>
      </c>
      <c r="B1166" s="19" t="s">
        <v>2331</v>
      </c>
      <c r="C1166" s="23"/>
      <c r="D1166" s="23"/>
      <c r="E1166" s="23"/>
      <c r="F1166" s="42"/>
      <c r="G1166" s="42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</row>
    <row r="1167">
      <c r="A1167" s="22" t="s">
        <v>2332</v>
      </c>
      <c r="B1167" s="14" t="s">
        <v>2333</v>
      </c>
      <c r="C1167" s="23"/>
      <c r="D1167" s="23"/>
      <c r="E1167" s="23"/>
      <c r="F1167" s="42"/>
      <c r="G1167" s="42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</row>
    <row r="1168">
      <c r="A1168" s="25" t="s">
        <v>2334</v>
      </c>
      <c r="B1168" s="19" t="s">
        <v>2335</v>
      </c>
      <c r="C1168" s="23"/>
      <c r="D1168" s="23"/>
      <c r="E1168" s="23"/>
      <c r="F1168" s="42"/>
      <c r="G1168" s="42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</row>
    <row r="1169">
      <c r="A1169" s="22" t="s">
        <v>2336</v>
      </c>
      <c r="B1169" s="14" t="s">
        <v>2337</v>
      </c>
      <c r="C1169" s="23"/>
      <c r="D1169" s="23"/>
      <c r="E1169" s="23"/>
      <c r="F1169" s="42"/>
      <c r="G1169" s="42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</row>
    <row r="1170">
      <c r="A1170" s="18" t="s">
        <v>2338</v>
      </c>
      <c r="B1170" s="33" t="s">
        <v>2339</v>
      </c>
      <c r="C1170" s="23"/>
      <c r="D1170" s="23"/>
      <c r="E1170" s="23"/>
      <c r="F1170" s="42"/>
      <c r="G1170" s="42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</row>
    <row r="1171">
      <c r="A1171" s="22" t="s">
        <v>2340</v>
      </c>
      <c r="B1171" s="14" t="s">
        <v>2341</v>
      </c>
      <c r="C1171" s="23"/>
      <c r="D1171" s="23"/>
      <c r="E1171" s="23"/>
      <c r="F1171" s="42"/>
      <c r="G1171" s="42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</row>
    <row r="1172">
      <c r="A1172" s="18" t="s">
        <v>2342</v>
      </c>
      <c r="B1172" s="19" t="s">
        <v>2343</v>
      </c>
      <c r="C1172" s="23"/>
      <c r="D1172" s="23"/>
      <c r="E1172" s="23"/>
      <c r="F1172" s="42"/>
      <c r="G1172" s="42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</row>
    <row r="1173">
      <c r="A1173" s="13" t="s">
        <v>2344</v>
      </c>
      <c r="B1173" s="14" t="s">
        <v>2345</v>
      </c>
      <c r="C1173" s="23"/>
      <c r="D1173" s="23"/>
      <c r="E1173" s="23"/>
      <c r="F1173" s="42"/>
      <c r="G1173" s="42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</row>
    <row r="1174">
      <c r="A1174" s="18" t="s">
        <v>2346</v>
      </c>
      <c r="B1174" s="19" t="s">
        <v>2347</v>
      </c>
      <c r="C1174" s="23"/>
      <c r="D1174" s="23"/>
      <c r="E1174" s="23"/>
      <c r="F1174" s="42"/>
      <c r="G1174" s="42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</row>
    <row r="1175">
      <c r="A1175" s="13" t="s">
        <v>2348</v>
      </c>
      <c r="B1175" s="14" t="s">
        <v>2349</v>
      </c>
      <c r="C1175" s="23"/>
      <c r="D1175" s="23"/>
      <c r="E1175" s="23"/>
      <c r="F1175" s="42"/>
      <c r="G1175" s="42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</row>
    <row r="1176">
      <c r="A1176" s="18" t="s">
        <v>2350</v>
      </c>
      <c r="B1176" s="19" t="s">
        <v>2351</v>
      </c>
      <c r="C1176" s="23"/>
      <c r="D1176" s="23"/>
      <c r="E1176" s="23"/>
      <c r="F1176" s="42"/>
      <c r="G1176" s="42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</row>
    <row r="1177">
      <c r="A1177" s="13" t="s">
        <v>2352</v>
      </c>
      <c r="B1177" s="26" t="s">
        <v>2353</v>
      </c>
      <c r="C1177" s="23"/>
      <c r="D1177" s="23"/>
      <c r="E1177" s="23"/>
      <c r="F1177" s="42"/>
      <c r="G1177" s="42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</row>
    <row r="1178">
      <c r="A1178" s="25" t="s">
        <v>2354</v>
      </c>
      <c r="B1178" s="19" t="s">
        <v>2355</v>
      </c>
      <c r="C1178" s="23"/>
      <c r="D1178" s="23"/>
      <c r="E1178" s="23"/>
      <c r="F1178" s="42"/>
      <c r="G1178" s="42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</row>
    <row r="1179">
      <c r="A1179" s="13" t="s">
        <v>2356</v>
      </c>
      <c r="B1179" s="14" t="s">
        <v>2357</v>
      </c>
      <c r="C1179" s="23"/>
      <c r="D1179" s="23"/>
      <c r="E1179" s="23"/>
      <c r="F1179" s="42"/>
      <c r="G1179" s="42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</row>
    <row r="1180">
      <c r="A1180" s="18" t="s">
        <v>2358</v>
      </c>
      <c r="B1180" s="19" t="s">
        <v>2359</v>
      </c>
      <c r="C1180" s="23"/>
      <c r="D1180" s="23"/>
      <c r="E1180" s="23"/>
      <c r="F1180" s="42"/>
      <c r="G1180" s="42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</row>
    <row r="1181">
      <c r="A1181" s="13" t="s">
        <v>2360</v>
      </c>
      <c r="B1181" s="14" t="s">
        <v>2361</v>
      </c>
      <c r="C1181" s="23"/>
      <c r="D1181" s="23"/>
      <c r="E1181" s="23"/>
      <c r="F1181" s="42"/>
      <c r="G1181" s="42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</row>
    <row r="1182">
      <c r="A1182" s="18" t="s">
        <v>2362</v>
      </c>
      <c r="B1182" s="19" t="s">
        <v>2363</v>
      </c>
      <c r="C1182" s="23"/>
      <c r="D1182" s="23"/>
      <c r="E1182" s="23"/>
      <c r="F1182" s="42"/>
      <c r="G1182" s="42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</row>
    <row r="1183">
      <c r="A1183" s="13" t="s">
        <v>2364</v>
      </c>
      <c r="B1183" s="14" t="s">
        <v>2365</v>
      </c>
      <c r="C1183" s="23"/>
      <c r="D1183" s="23"/>
      <c r="E1183" s="23"/>
      <c r="F1183" s="42"/>
      <c r="G1183" s="42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</row>
    <row r="1184">
      <c r="A1184" s="18" t="s">
        <v>2366</v>
      </c>
      <c r="B1184" s="19" t="s">
        <v>2367</v>
      </c>
      <c r="C1184" s="23"/>
      <c r="D1184" s="23"/>
      <c r="E1184" s="23"/>
      <c r="F1184" s="42"/>
      <c r="G1184" s="42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</row>
    <row r="1185">
      <c r="A1185" s="13" t="s">
        <v>2368</v>
      </c>
      <c r="B1185" s="14" t="s">
        <v>2369</v>
      </c>
      <c r="C1185" s="23"/>
      <c r="D1185" s="23"/>
      <c r="E1185" s="23"/>
      <c r="F1185" s="42"/>
      <c r="G1185" s="42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</row>
    <row r="1186">
      <c r="A1186" s="25" t="s">
        <v>2370</v>
      </c>
      <c r="B1186" s="19" t="s">
        <v>2371</v>
      </c>
      <c r="C1186" s="23"/>
      <c r="D1186" s="23"/>
      <c r="E1186" s="23"/>
      <c r="F1186" s="42"/>
      <c r="G1186" s="42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</row>
    <row r="1187">
      <c r="A1187" s="13" t="s">
        <v>2372</v>
      </c>
      <c r="B1187" s="14" t="s">
        <v>2373</v>
      </c>
      <c r="C1187" s="23"/>
      <c r="D1187" s="23"/>
      <c r="E1187" s="23"/>
      <c r="F1187" s="42"/>
      <c r="G1187" s="42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</row>
    <row r="1188">
      <c r="A1188" s="25" t="s">
        <v>2374</v>
      </c>
      <c r="B1188" s="19" t="s">
        <v>2375</v>
      </c>
      <c r="C1188" s="23"/>
      <c r="D1188" s="23"/>
      <c r="E1188" s="23"/>
      <c r="F1188" s="42"/>
      <c r="G1188" s="42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</row>
    <row r="1189">
      <c r="A1189" s="22" t="s">
        <v>2376</v>
      </c>
      <c r="B1189" s="14" t="s">
        <v>2377</v>
      </c>
      <c r="C1189" s="23"/>
      <c r="D1189" s="23"/>
      <c r="E1189" s="23"/>
      <c r="F1189" s="42"/>
      <c r="G1189" s="42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</row>
    <row r="1190">
      <c r="A1190" s="18" t="s">
        <v>2378</v>
      </c>
      <c r="B1190" s="19" t="s">
        <v>2379</v>
      </c>
      <c r="C1190" s="23"/>
      <c r="D1190" s="23"/>
      <c r="E1190" s="23"/>
      <c r="F1190" s="42"/>
      <c r="G1190" s="42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</row>
    <row r="1191">
      <c r="A1191" s="13" t="s">
        <v>2380</v>
      </c>
      <c r="B1191" s="14" t="s">
        <v>2381</v>
      </c>
      <c r="C1191" s="23"/>
      <c r="D1191" s="23"/>
      <c r="E1191" s="23"/>
      <c r="F1191" s="42"/>
      <c r="G1191" s="42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</row>
    <row r="1192">
      <c r="A1192" s="18" t="s">
        <v>2382</v>
      </c>
      <c r="B1192" s="19" t="s">
        <v>2383</v>
      </c>
      <c r="C1192" s="23"/>
      <c r="D1192" s="23"/>
      <c r="E1192" s="23"/>
      <c r="F1192" s="42"/>
      <c r="G1192" s="42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</row>
    <row r="1193">
      <c r="A1193" s="13" t="s">
        <v>2384</v>
      </c>
      <c r="B1193" s="14" t="s">
        <v>2385</v>
      </c>
      <c r="C1193" s="23"/>
      <c r="D1193" s="23"/>
      <c r="E1193" s="23"/>
      <c r="F1193" s="42"/>
      <c r="G1193" s="42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</row>
    <row r="1194">
      <c r="A1194" s="18" t="s">
        <v>2386</v>
      </c>
      <c r="B1194" s="19" t="s">
        <v>2387</v>
      </c>
      <c r="C1194" s="23"/>
      <c r="D1194" s="23"/>
      <c r="E1194" s="23"/>
      <c r="F1194" s="42"/>
      <c r="G1194" s="42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</row>
    <row r="1195">
      <c r="A1195" s="22" t="s">
        <v>2388</v>
      </c>
      <c r="B1195" s="14" t="s">
        <v>2389</v>
      </c>
      <c r="C1195" s="23"/>
      <c r="D1195" s="23"/>
      <c r="E1195" s="23"/>
      <c r="F1195" s="42"/>
      <c r="G1195" s="42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</row>
    <row r="1196">
      <c r="A1196" s="18" t="s">
        <v>2390</v>
      </c>
      <c r="B1196" s="19" t="s">
        <v>2391</v>
      </c>
      <c r="C1196" s="23"/>
      <c r="D1196" s="23"/>
      <c r="E1196" s="23"/>
      <c r="F1196" s="42"/>
      <c r="G1196" s="42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</row>
    <row r="1197">
      <c r="A1197" s="22" t="s">
        <v>2392</v>
      </c>
      <c r="B1197" s="14" t="s">
        <v>2393</v>
      </c>
      <c r="C1197" s="23"/>
      <c r="D1197" s="23"/>
      <c r="E1197" s="23"/>
      <c r="F1197" s="42"/>
      <c r="G1197" s="42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</row>
    <row r="1198">
      <c r="A1198" s="25" t="s">
        <v>2394</v>
      </c>
      <c r="B1198" s="19" t="s">
        <v>2395</v>
      </c>
      <c r="C1198" s="23"/>
      <c r="D1198" s="23"/>
      <c r="E1198" s="23"/>
      <c r="F1198" s="42"/>
      <c r="G1198" s="42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</row>
    <row r="1199">
      <c r="A1199" s="13" t="s">
        <v>2396</v>
      </c>
      <c r="B1199" s="14" t="s">
        <v>2397</v>
      </c>
      <c r="C1199" s="23"/>
      <c r="D1199" s="23"/>
      <c r="E1199" s="23"/>
      <c r="F1199" s="42"/>
      <c r="G1199" s="42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</row>
    <row r="1200">
      <c r="A1200" s="25" t="s">
        <v>2398</v>
      </c>
      <c r="B1200" s="19" t="s">
        <v>2399</v>
      </c>
      <c r="C1200" s="23"/>
      <c r="D1200" s="23"/>
      <c r="E1200" s="23"/>
      <c r="F1200" s="42"/>
      <c r="G1200" s="42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</row>
    <row r="1201">
      <c r="A1201" s="13" t="s">
        <v>2400</v>
      </c>
      <c r="B1201" s="14" t="s">
        <v>2401</v>
      </c>
      <c r="C1201" s="23"/>
      <c r="D1201" s="23"/>
      <c r="E1201" s="23"/>
      <c r="F1201" s="42"/>
      <c r="G1201" s="42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</row>
    <row r="1202">
      <c r="A1202" s="18" t="s">
        <v>2402</v>
      </c>
      <c r="B1202" s="19" t="s">
        <v>2403</v>
      </c>
      <c r="C1202" s="23"/>
      <c r="D1202" s="23"/>
      <c r="E1202" s="23"/>
      <c r="F1202" s="42"/>
      <c r="G1202" s="42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</row>
    <row r="1203">
      <c r="A1203" s="13" t="s">
        <v>2404</v>
      </c>
      <c r="B1203" s="14" t="s">
        <v>2405</v>
      </c>
      <c r="C1203" s="23"/>
      <c r="D1203" s="23"/>
      <c r="E1203" s="23"/>
      <c r="F1203" s="42"/>
      <c r="G1203" s="42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</row>
    <row r="1204">
      <c r="A1204" s="25" t="s">
        <v>2406</v>
      </c>
      <c r="B1204" s="19" t="s">
        <v>2407</v>
      </c>
      <c r="C1204" s="23"/>
      <c r="D1204" s="23"/>
      <c r="E1204" s="23"/>
      <c r="F1204" s="42"/>
      <c r="G1204" s="42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</row>
    <row r="1205">
      <c r="A1205" s="13" t="s">
        <v>2408</v>
      </c>
      <c r="B1205" s="14" t="s">
        <v>2409</v>
      </c>
      <c r="C1205" s="23"/>
      <c r="D1205" s="23"/>
      <c r="E1205" s="23"/>
      <c r="F1205" s="42"/>
      <c r="G1205" s="42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</row>
    <row r="1206">
      <c r="A1206" s="25" t="s">
        <v>2410</v>
      </c>
      <c r="B1206" s="19" t="s">
        <v>2411</v>
      </c>
      <c r="C1206" s="23"/>
      <c r="D1206" s="23"/>
      <c r="E1206" s="23"/>
      <c r="F1206" s="42"/>
      <c r="G1206" s="42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</row>
    <row r="1207">
      <c r="A1207" s="22" t="s">
        <v>2412</v>
      </c>
      <c r="B1207" s="14" t="s">
        <v>2413</v>
      </c>
      <c r="C1207" s="23"/>
      <c r="D1207" s="23"/>
      <c r="E1207" s="23"/>
      <c r="F1207" s="42"/>
      <c r="G1207" s="42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</row>
    <row r="1208">
      <c r="A1208" s="18" t="s">
        <v>2414</v>
      </c>
      <c r="B1208" s="19" t="s">
        <v>2415</v>
      </c>
      <c r="C1208" s="23"/>
      <c r="D1208" s="23"/>
      <c r="E1208" s="23"/>
      <c r="F1208" s="42"/>
      <c r="G1208" s="42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</row>
    <row r="1209">
      <c r="A1209" s="13" t="s">
        <v>2416</v>
      </c>
      <c r="B1209" s="14" t="s">
        <v>2417</v>
      </c>
      <c r="C1209" s="23"/>
      <c r="D1209" s="23"/>
      <c r="E1209" s="23"/>
      <c r="F1209" s="42"/>
      <c r="G1209" s="42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</row>
    <row r="1210">
      <c r="A1210" s="18" t="s">
        <v>2418</v>
      </c>
      <c r="B1210" s="19" t="s">
        <v>2419</v>
      </c>
      <c r="C1210" s="23"/>
      <c r="D1210" s="23"/>
      <c r="E1210" s="23"/>
      <c r="F1210" s="42"/>
      <c r="G1210" s="42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</row>
    <row r="1211">
      <c r="A1211" s="13" t="s">
        <v>2420</v>
      </c>
      <c r="B1211" s="14" t="s">
        <v>2421</v>
      </c>
      <c r="C1211" s="23"/>
      <c r="D1211" s="23"/>
      <c r="E1211" s="23"/>
      <c r="F1211" s="42"/>
      <c r="G1211" s="42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</row>
    <row r="1212">
      <c r="A1212" s="25" t="s">
        <v>2422</v>
      </c>
      <c r="B1212" s="19" t="s">
        <v>2423</v>
      </c>
      <c r="C1212" s="23"/>
      <c r="D1212" s="23"/>
      <c r="E1212" s="23"/>
      <c r="F1212" s="42"/>
      <c r="G1212" s="42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</row>
    <row r="1213">
      <c r="A1213" s="22" t="s">
        <v>2424</v>
      </c>
      <c r="B1213" s="14" t="s">
        <v>2425</v>
      </c>
      <c r="C1213" s="23"/>
      <c r="D1213" s="23"/>
      <c r="E1213" s="23"/>
      <c r="F1213" s="42"/>
      <c r="G1213" s="42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</row>
    <row r="1214">
      <c r="A1214" s="25" t="s">
        <v>2426</v>
      </c>
      <c r="B1214" s="19" t="s">
        <v>2427</v>
      </c>
      <c r="C1214" s="23"/>
      <c r="D1214" s="23"/>
      <c r="E1214" s="23"/>
      <c r="F1214" s="42"/>
      <c r="G1214" s="42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</row>
    <row r="1215">
      <c r="A1215" s="13" t="s">
        <v>2428</v>
      </c>
      <c r="B1215" s="14" t="s">
        <v>2429</v>
      </c>
      <c r="C1215" s="23"/>
      <c r="D1215" s="23"/>
      <c r="E1215" s="23"/>
      <c r="F1215" s="42"/>
      <c r="G1215" s="42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</row>
    <row r="1216">
      <c r="A1216" s="18" t="s">
        <v>2430</v>
      </c>
      <c r="B1216" s="19" t="s">
        <v>2431</v>
      </c>
      <c r="C1216" s="23"/>
      <c r="D1216" s="23"/>
      <c r="E1216" s="23"/>
      <c r="F1216" s="42"/>
      <c r="G1216" s="42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</row>
    <row r="1217">
      <c r="A1217" s="13" t="s">
        <v>2432</v>
      </c>
      <c r="B1217" s="14" t="s">
        <v>2433</v>
      </c>
      <c r="C1217" s="23"/>
      <c r="D1217" s="23"/>
      <c r="E1217" s="23"/>
      <c r="F1217" s="42"/>
      <c r="G1217" s="42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</row>
    <row r="1218">
      <c r="A1218" s="18" t="s">
        <v>2434</v>
      </c>
      <c r="B1218" s="19" t="s">
        <v>2435</v>
      </c>
      <c r="C1218" s="23"/>
      <c r="D1218" s="23"/>
      <c r="E1218" s="23"/>
      <c r="F1218" s="42"/>
      <c r="G1218" s="42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</row>
    <row r="1219">
      <c r="A1219" s="22" t="s">
        <v>2436</v>
      </c>
      <c r="B1219" s="14" t="s">
        <v>2437</v>
      </c>
      <c r="C1219" s="23"/>
      <c r="D1219" s="23"/>
      <c r="E1219" s="23"/>
      <c r="F1219" s="42"/>
      <c r="G1219" s="42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</row>
    <row r="1220">
      <c r="A1220" s="18" t="s">
        <v>2438</v>
      </c>
      <c r="B1220" s="19" t="s">
        <v>2439</v>
      </c>
      <c r="C1220" s="23"/>
      <c r="D1220" s="23"/>
      <c r="E1220" s="23"/>
      <c r="F1220" s="42"/>
      <c r="G1220" s="42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</row>
    <row r="1221">
      <c r="A1221" s="22" t="s">
        <v>2440</v>
      </c>
      <c r="B1221" s="14" t="s">
        <v>2441</v>
      </c>
      <c r="C1221" s="23"/>
      <c r="D1221" s="23"/>
      <c r="E1221" s="23"/>
      <c r="F1221" s="42"/>
      <c r="G1221" s="42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</row>
    <row r="1222">
      <c r="A1222" s="18" t="s">
        <v>2442</v>
      </c>
      <c r="B1222" s="19" t="s">
        <v>2443</v>
      </c>
      <c r="C1222" s="23"/>
      <c r="D1222" s="23"/>
      <c r="E1222" s="23"/>
      <c r="F1222" s="42"/>
      <c r="G1222" s="42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</row>
    <row r="1223">
      <c r="A1223" s="13" t="s">
        <v>2444</v>
      </c>
      <c r="B1223" s="14" t="s">
        <v>2445</v>
      </c>
      <c r="C1223" s="23"/>
      <c r="D1223" s="23"/>
      <c r="E1223" s="23"/>
      <c r="F1223" s="42"/>
      <c r="G1223" s="42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</row>
    <row r="1224">
      <c r="A1224" s="18" t="s">
        <v>2446</v>
      </c>
      <c r="B1224" s="19" t="s">
        <v>2447</v>
      </c>
      <c r="C1224" s="23"/>
      <c r="D1224" s="23"/>
      <c r="E1224" s="23"/>
      <c r="F1224" s="42"/>
      <c r="G1224" s="42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</row>
    <row r="1225">
      <c r="A1225" s="13" t="s">
        <v>2448</v>
      </c>
      <c r="B1225" s="14" t="s">
        <v>2449</v>
      </c>
      <c r="C1225" s="23"/>
      <c r="D1225" s="23"/>
      <c r="E1225" s="23"/>
      <c r="F1225" s="42"/>
      <c r="G1225" s="42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</row>
    <row r="1226">
      <c r="A1226" s="18" t="s">
        <v>2450</v>
      </c>
      <c r="B1226" s="19" t="s">
        <v>2451</v>
      </c>
      <c r="C1226" s="23"/>
      <c r="D1226" s="23"/>
      <c r="E1226" s="23"/>
      <c r="F1226" s="42"/>
      <c r="G1226" s="42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</row>
    <row r="1227">
      <c r="A1227" s="28" t="s">
        <v>2452</v>
      </c>
      <c r="B1227" s="14" t="s">
        <v>2453</v>
      </c>
      <c r="C1227" s="23"/>
      <c r="D1227" s="23"/>
      <c r="E1227" s="23"/>
      <c r="F1227" s="42"/>
      <c r="G1227" s="42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</row>
    <row r="1228">
      <c r="A1228" s="25" t="s">
        <v>2454</v>
      </c>
      <c r="B1228" s="19" t="s">
        <v>2455</v>
      </c>
      <c r="C1228" s="23"/>
      <c r="D1228" s="23"/>
      <c r="E1228" s="23"/>
      <c r="F1228" s="42"/>
      <c r="G1228" s="42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</row>
    <row r="1229">
      <c r="A1229" s="13" t="s">
        <v>2456</v>
      </c>
      <c r="B1229" s="14" t="s">
        <v>2457</v>
      </c>
      <c r="C1229" s="23"/>
      <c r="D1229" s="23"/>
      <c r="E1229" s="23"/>
      <c r="F1229" s="42"/>
      <c r="G1229" s="42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</row>
    <row r="1230">
      <c r="A1230" s="25" t="s">
        <v>2458</v>
      </c>
      <c r="B1230" s="19" t="s">
        <v>2459</v>
      </c>
      <c r="C1230" s="23"/>
      <c r="D1230" s="23"/>
      <c r="E1230" s="23"/>
      <c r="F1230" s="42"/>
      <c r="G1230" s="42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</row>
    <row r="1231">
      <c r="A1231" s="13" t="s">
        <v>2460</v>
      </c>
      <c r="B1231" s="14" t="s">
        <v>2461</v>
      </c>
      <c r="C1231" s="23"/>
      <c r="D1231" s="23"/>
      <c r="E1231" s="23"/>
      <c r="F1231" s="42"/>
      <c r="G1231" s="42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</row>
    <row r="1232">
      <c r="A1232" s="9" t="s">
        <v>2462</v>
      </c>
      <c r="B1232" s="10" t="s">
        <v>2463</v>
      </c>
      <c r="C1232" s="23"/>
      <c r="D1232" s="23"/>
      <c r="E1232" s="23"/>
      <c r="F1232" s="42"/>
      <c r="G1232" s="42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</row>
    <row r="1233">
      <c r="A1233" s="13" t="s">
        <v>2464</v>
      </c>
      <c r="B1233" s="14" t="s">
        <v>2465</v>
      </c>
      <c r="C1233" s="23"/>
      <c r="D1233" s="23"/>
      <c r="E1233" s="23"/>
      <c r="F1233" s="42"/>
      <c r="G1233" s="42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</row>
    <row r="1234">
      <c r="A1234" s="18" t="s">
        <v>2466</v>
      </c>
      <c r="B1234" s="19" t="s">
        <v>2467</v>
      </c>
      <c r="C1234" s="23"/>
      <c r="D1234" s="23"/>
      <c r="E1234" s="23"/>
      <c r="F1234" s="42"/>
      <c r="G1234" s="42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</row>
    <row r="1235">
      <c r="A1235" s="13" t="s">
        <v>2468</v>
      </c>
      <c r="B1235" s="26" t="s">
        <v>2469</v>
      </c>
      <c r="C1235" s="23"/>
      <c r="D1235" s="23"/>
      <c r="E1235" s="23"/>
      <c r="F1235" s="42"/>
      <c r="G1235" s="42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</row>
    <row r="1236">
      <c r="A1236" s="18" t="s">
        <v>2470</v>
      </c>
      <c r="B1236" s="19" t="s">
        <v>2471</v>
      </c>
      <c r="C1236" s="23"/>
      <c r="D1236" s="23"/>
      <c r="E1236" s="23"/>
      <c r="F1236" s="42"/>
      <c r="G1236" s="42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</row>
    <row r="1237">
      <c r="A1237" s="13" t="s">
        <v>2472</v>
      </c>
      <c r="B1237" s="14" t="s">
        <v>2473</v>
      </c>
      <c r="C1237" s="23"/>
      <c r="D1237" s="23"/>
      <c r="E1237" s="23"/>
      <c r="F1237" s="42"/>
      <c r="G1237" s="42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</row>
    <row r="1238">
      <c r="A1238" s="25" t="s">
        <v>2474</v>
      </c>
      <c r="B1238" s="19" t="s">
        <v>2475</v>
      </c>
      <c r="C1238" s="23"/>
      <c r="D1238" s="23"/>
      <c r="E1238" s="23"/>
      <c r="F1238" s="42"/>
      <c r="G1238" s="42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</row>
    <row r="1239">
      <c r="A1239" s="22" t="s">
        <v>2476</v>
      </c>
      <c r="B1239" s="14" t="s">
        <v>2477</v>
      </c>
      <c r="C1239" s="23"/>
      <c r="D1239" s="23"/>
      <c r="E1239" s="23"/>
      <c r="F1239" s="42"/>
      <c r="G1239" s="42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</row>
    <row r="1240">
      <c r="A1240" s="18" t="s">
        <v>2478</v>
      </c>
      <c r="B1240" s="19" t="s">
        <v>2479</v>
      </c>
      <c r="C1240" s="23"/>
      <c r="D1240" s="23"/>
      <c r="E1240" s="23"/>
      <c r="F1240" s="42"/>
      <c r="G1240" s="42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</row>
    <row r="1241">
      <c r="A1241" s="13" t="s">
        <v>2480</v>
      </c>
      <c r="B1241" s="14" t="s">
        <v>2481</v>
      </c>
      <c r="C1241" s="23"/>
      <c r="D1241" s="23"/>
      <c r="E1241" s="23"/>
      <c r="F1241" s="42"/>
      <c r="G1241" s="42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</row>
    <row r="1242">
      <c r="A1242" s="25" t="s">
        <v>2482</v>
      </c>
      <c r="B1242" s="19" t="s">
        <v>2483</v>
      </c>
      <c r="C1242" s="23"/>
      <c r="D1242" s="23"/>
      <c r="E1242" s="23"/>
      <c r="F1242" s="42"/>
      <c r="G1242" s="42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</row>
    <row r="1243">
      <c r="A1243" s="13" t="s">
        <v>2484</v>
      </c>
      <c r="B1243" s="26" t="s">
        <v>2485</v>
      </c>
      <c r="C1243" s="23"/>
      <c r="D1243" s="23"/>
      <c r="E1243" s="23"/>
      <c r="F1243" s="42"/>
      <c r="G1243" s="42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</row>
    <row r="1244">
      <c r="A1244" s="18" t="s">
        <v>2486</v>
      </c>
      <c r="B1244" s="19" t="s">
        <v>2487</v>
      </c>
      <c r="C1244" s="23"/>
      <c r="D1244" s="23"/>
      <c r="E1244" s="23"/>
      <c r="F1244" s="42"/>
      <c r="G1244" s="42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</row>
    <row r="1245">
      <c r="A1245" s="13" t="s">
        <v>2488</v>
      </c>
      <c r="B1245" s="14" t="s">
        <v>2489</v>
      </c>
      <c r="C1245" s="23"/>
      <c r="D1245" s="23"/>
      <c r="E1245" s="23"/>
      <c r="F1245" s="42"/>
      <c r="G1245" s="42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</row>
    <row r="1246">
      <c r="A1246" s="25" t="s">
        <v>2490</v>
      </c>
      <c r="B1246" s="19" t="s">
        <v>2491</v>
      </c>
      <c r="C1246" s="23"/>
      <c r="D1246" s="23"/>
      <c r="E1246" s="23"/>
      <c r="F1246" s="42"/>
      <c r="G1246" s="42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</row>
    <row r="1247">
      <c r="A1247" s="13" t="s">
        <v>2492</v>
      </c>
      <c r="B1247" s="14" t="s">
        <v>2493</v>
      </c>
      <c r="C1247" s="23"/>
      <c r="D1247" s="23"/>
      <c r="E1247" s="23"/>
      <c r="F1247" s="42"/>
      <c r="G1247" s="42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</row>
    <row r="1248">
      <c r="A1248" s="18" t="s">
        <v>2494</v>
      </c>
      <c r="B1248" s="19" t="s">
        <v>2495</v>
      </c>
      <c r="C1248" s="23"/>
      <c r="D1248" s="23"/>
      <c r="E1248" s="23"/>
      <c r="F1248" s="42"/>
      <c r="G1248" s="42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</row>
    <row r="1249">
      <c r="A1249" s="22" t="s">
        <v>2496</v>
      </c>
      <c r="B1249" s="14" t="s">
        <v>2497</v>
      </c>
      <c r="C1249" s="23"/>
      <c r="D1249" s="23"/>
      <c r="E1249" s="23"/>
      <c r="F1249" s="42"/>
      <c r="G1249" s="42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</row>
    <row r="1250">
      <c r="A1250" s="25" t="s">
        <v>2498</v>
      </c>
      <c r="B1250" s="19" t="s">
        <v>2499</v>
      </c>
      <c r="C1250" s="23"/>
      <c r="D1250" s="23"/>
      <c r="E1250" s="23"/>
      <c r="F1250" s="42"/>
      <c r="G1250" s="42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</row>
    <row r="1251">
      <c r="A1251" s="13" t="s">
        <v>2500</v>
      </c>
      <c r="B1251" s="14" t="s">
        <v>2501</v>
      </c>
      <c r="C1251" s="23"/>
      <c r="D1251" s="23"/>
      <c r="E1251" s="23"/>
      <c r="F1251" s="42"/>
      <c r="G1251" s="42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</row>
    <row r="1252">
      <c r="A1252" s="18" t="s">
        <v>2502</v>
      </c>
      <c r="B1252" s="19" t="s">
        <v>2503</v>
      </c>
      <c r="C1252" s="23"/>
      <c r="D1252" s="23"/>
      <c r="E1252" s="23"/>
      <c r="F1252" s="42"/>
      <c r="G1252" s="42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</row>
    <row r="1253">
      <c r="A1253" s="13" t="s">
        <v>2504</v>
      </c>
      <c r="B1253" s="14" t="s">
        <v>2505</v>
      </c>
      <c r="C1253" s="23"/>
      <c r="D1253" s="23"/>
      <c r="E1253" s="23"/>
      <c r="F1253" s="42"/>
      <c r="G1253" s="42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</row>
    <row r="1254">
      <c r="A1254" s="25" t="s">
        <v>2506</v>
      </c>
      <c r="B1254" s="19" t="s">
        <v>2507</v>
      </c>
      <c r="C1254" s="23"/>
      <c r="D1254" s="23"/>
      <c r="E1254" s="23"/>
      <c r="F1254" s="42"/>
      <c r="G1254" s="42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</row>
    <row r="1255">
      <c r="A1255" s="13" t="s">
        <v>2508</v>
      </c>
      <c r="B1255" s="14" t="s">
        <v>2509</v>
      </c>
      <c r="C1255" s="23"/>
      <c r="D1255" s="23"/>
      <c r="E1255" s="23"/>
      <c r="F1255" s="42"/>
      <c r="G1255" s="42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</row>
    <row r="1256">
      <c r="A1256" s="18" t="s">
        <v>2510</v>
      </c>
      <c r="B1256" s="19" t="s">
        <v>2511</v>
      </c>
      <c r="C1256" s="23"/>
      <c r="D1256" s="23"/>
      <c r="E1256" s="23"/>
      <c r="F1256" s="42"/>
      <c r="G1256" s="42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</row>
    <row r="1257">
      <c r="A1257" s="13" t="s">
        <v>2512</v>
      </c>
      <c r="B1257" s="14" t="s">
        <v>2513</v>
      </c>
      <c r="C1257" s="23"/>
      <c r="D1257" s="23"/>
      <c r="E1257" s="23"/>
      <c r="F1257" s="42"/>
      <c r="G1257" s="42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</row>
    <row r="1258">
      <c r="A1258" s="18" t="s">
        <v>2514</v>
      </c>
      <c r="B1258" s="19" t="s">
        <v>2515</v>
      </c>
      <c r="C1258" s="23"/>
      <c r="D1258" s="23"/>
      <c r="E1258" s="23"/>
      <c r="F1258" s="42"/>
      <c r="G1258" s="42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</row>
    <row r="1259">
      <c r="A1259" s="13" t="s">
        <v>2516</v>
      </c>
      <c r="B1259" s="14" t="s">
        <v>2517</v>
      </c>
      <c r="C1259" s="23"/>
      <c r="D1259" s="23"/>
      <c r="E1259" s="23"/>
      <c r="F1259" s="42"/>
      <c r="G1259" s="42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</row>
    <row r="1260">
      <c r="A1260" s="18" t="s">
        <v>2518</v>
      </c>
      <c r="B1260" s="19" t="s">
        <v>2519</v>
      </c>
      <c r="C1260" s="23"/>
      <c r="D1260" s="23"/>
      <c r="E1260" s="23"/>
      <c r="F1260" s="42"/>
      <c r="G1260" s="42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</row>
    <row r="1261">
      <c r="A1261" s="44" t="s">
        <v>2520</v>
      </c>
      <c r="B1261" s="45" t="s">
        <v>2521</v>
      </c>
      <c r="C1261" s="23"/>
      <c r="D1261" s="23"/>
      <c r="E1261" s="23"/>
      <c r="F1261" s="42"/>
      <c r="G1261" s="42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</row>
    <row r="1262">
      <c r="A1262" s="18" t="s">
        <v>2522</v>
      </c>
      <c r="B1262" s="19" t="s">
        <v>2523</v>
      </c>
      <c r="C1262" s="23"/>
      <c r="D1262" s="23"/>
      <c r="E1262" s="23"/>
      <c r="F1262" s="42"/>
      <c r="G1262" s="42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</row>
    <row r="1263">
      <c r="A1263" s="13" t="s">
        <v>2524</v>
      </c>
      <c r="B1263" s="14" t="s">
        <v>2525</v>
      </c>
      <c r="C1263" s="23"/>
      <c r="D1263" s="23"/>
      <c r="E1263" s="23"/>
      <c r="F1263" s="42"/>
      <c r="G1263" s="42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</row>
    <row r="1264">
      <c r="A1264" s="25" t="s">
        <v>2526</v>
      </c>
      <c r="B1264" s="19" t="s">
        <v>2527</v>
      </c>
      <c r="C1264" s="23"/>
      <c r="D1264" s="23"/>
      <c r="E1264" s="23"/>
      <c r="F1264" s="42"/>
      <c r="G1264" s="42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</row>
    <row r="1265">
      <c r="A1265" s="22" t="s">
        <v>2528</v>
      </c>
      <c r="B1265" s="14" t="s">
        <v>2529</v>
      </c>
      <c r="C1265" s="23"/>
      <c r="D1265" s="23"/>
      <c r="E1265" s="23"/>
      <c r="F1265" s="42"/>
      <c r="G1265" s="42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</row>
    <row r="1266">
      <c r="A1266" s="25" t="s">
        <v>2530</v>
      </c>
      <c r="B1266" s="19" t="s">
        <v>2531</v>
      </c>
      <c r="C1266" s="23"/>
      <c r="D1266" s="23"/>
      <c r="E1266" s="23"/>
      <c r="F1266" s="42"/>
      <c r="G1266" s="42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</row>
    <row r="1267">
      <c r="A1267" s="13" t="s">
        <v>2532</v>
      </c>
      <c r="B1267" s="14" t="s">
        <v>2533</v>
      </c>
      <c r="C1267" s="23"/>
      <c r="D1267" s="23"/>
      <c r="E1267" s="23"/>
      <c r="F1267" s="42"/>
      <c r="G1267" s="42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</row>
    <row r="1268">
      <c r="A1268" s="25" t="s">
        <v>2534</v>
      </c>
      <c r="B1268" s="19" t="s">
        <v>2535</v>
      </c>
      <c r="C1268" s="23"/>
      <c r="D1268" s="23"/>
      <c r="E1268" s="23"/>
      <c r="F1268" s="42"/>
      <c r="G1268" s="42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</row>
    <row r="1269">
      <c r="A1269" s="22" t="s">
        <v>2536</v>
      </c>
      <c r="B1269" s="14" t="s">
        <v>2537</v>
      </c>
      <c r="C1269" s="23"/>
      <c r="D1269" s="23"/>
      <c r="E1269" s="23"/>
      <c r="F1269" s="42"/>
      <c r="G1269" s="42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</row>
    <row r="1270">
      <c r="A1270" s="25" t="s">
        <v>2538</v>
      </c>
      <c r="B1270" s="19" t="s">
        <v>2539</v>
      </c>
      <c r="C1270" s="23"/>
      <c r="D1270" s="23"/>
      <c r="E1270" s="23"/>
      <c r="F1270" s="42"/>
      <c r="G1270" s="42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</row>
    <row r="1271">
      <c r="A1271" s="22" t="s">
        <v>2540</v>
      </c>
      <c r="B1271" s="14" t="s">
        <v>2541</v>
      </c>
      <c r="C1271" s="23"/>
      <c r="D1271" s="23"/>
      <c r="E1271" s="23"/>
      <c r="F1271" s="42"/>
      <c r="G1271" s="42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</row>
    <row r="1272">
      <c r="A1272" s="25" t="s">
        <v>2542</v>
      </c>
      <c r="B1272" s="19" t="s">
        <v>2543</v>
      </c>
      <c r="C1272" s="23"/>
      <c r="D1272" s="23"/>
      <c r="E1272" s="23"/>
      <c r="F1272" s="42"/>
      <c r="G1272" s="42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</row>
    <row r="1273">
      <c r="A1273" s="22" t="s">
        <v>2544</v>
      </c>
      <c r="B1273" s="14" t="s">
        <v>2545</v>
      </c>
      <c r="C1273" s="23"/>
      <c r="D1273" s="23"/>
      <c r="E1273" s="23"/>
      <c r="F1273" s="42"/>
      <c r="G1273" s="42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</row>
    <row r="1274">
      <c r="A1274" s="18" t="s">
        <v>2546</v>
      </c>
      <c r="B1274" s="19" t="s">
        <v>2547</v>
      </c>
      <c r="C1274" s="23"/>
      <c r="D1274" s="23"/>
      <c r="E1274" s="23"/>
      <c r="F1274" s="42"/>
      <c r="G1274" s="42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</row>
    <row r="1275">
      <c r="A1275" s="22" t="s">
        <v>2548</v>
      </c>
      <c r="B1275" s="14" t="s">
        <v>2549</v>
      </c>
      <c r="C1275" s="23"/>
      <c r="D1275" s="23"/>
      <c r="E1275" s="23"/>
      <c r="F1275" s="42"/>
      <c r="G1275" s="42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</row>
    <row r="1276">
      <c r="A1276" s="18" t="s">
        <v>2550</v>
      </c>
      <c r="B1276" s="19" t="s">
        <v>2551</v>
      </c>
      <c r="C1276" s="23"/>
      <c r="D1276" s="23"/>
      <c r="E1276" s="23"/>
      <c r="F1276" s="42"/>
      <c r="G1276" s="42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</row>
    <row r="1277">
      <c r="A1277" s="13" t="s">
        <v>2552</v>
      </c>
      <c r="B1277" s="26" t="s">
        <v>2553</v>
      </c>
      <c r="C1277" s="23"/>
      <c r="D1277" s="23"/>
      <c r="E1277" s="23"/>
      <c r="F1277" s="42"/>
      <c r="G1277" s="42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</row>
    <row r="1278">
      <c r="A1278" s="18" t="s">
        <v>2554</v>
      </c>
      <c r="B1278" s="19" t="s">
        <v>2555</v>
      </c>
      <c r="C1278" s="23"/>
      <c r="D1278" s="23"/>
      <c r="E1278" s="23"/>
      <c r="F1278" s="42"/>
      <c r="G1278" s="42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</row>
    <row r="1279">
      <c r="A1279" s="13" t="s">
        <v>2556</v>
      </c>
      <c r="B1279" s="26" t="s">
        <v>2557</v>
      </c>
      <c r="C1279" s="23"/>
      <c r="D1279" s="23"/>
      <c r="E1279" s="23"/>
      <c r="F1279" s="42"/>
      <c r="G1279" s="42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</row>
    <row r="1280">
      <c r="A1280" s="25" t="s">
        <v>2558</v>
      </c>
      <c r="B1280" s="19" t="s">
        <v>2559</v>
      </c>
      <c r="C1280" s="23"/>
      <c r="D1280" s="23"/>
      <c r="E1280" s="23"/>
      <c r="F1280" s="42"/>
      <c r="G1280" s="42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</row>
    <row r="1281">
      <c r="A1281" s="22" t="s">
        <v>2560</v>
      </c>
      <c r="B1281" s="14" t="s">
        <v>2561</v>
      </c>
      <c r="C1281" s="23"/>
      <c r="D1281" s="23"/>
      <c r="E1281" s="23"/>
      <c r="F1281" s="42"/>
      <c r="G1281" s="42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</row>
    <row r="1282">
      <c r="A1282" s="18" t="s">
        <v>2562</v>
      </c>
      <c r="B1282" s="19" t="s">
        <v>2563</v>
      </c>
      <c r="C1282" s="23"/>
      <c r="D1282" s="23"/>
      <c r="E1282" s="23"/>
      <c r="F1282" s="42"/>
      <c r="G1282" s="42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</row>
    <row r="1283">
      <c r="A1283" s="13" t="s">
        <v>2564</v>
      </c>
      <c r="B1283" s="14" t="s">
        <v>2565</v>
      </c>
      <c r="C1283" s="23"/>
      <c r="D1283" s="23"/>
      <c r="E1283" s="23"/>
      <c r="F1283" s="42"/>
      <c r="G1283" s="42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</row>
    <row r="1284">
      <c r="A1284" s="25" t="s">
        <v>2566</v>
      </c>
      <c r="B1284" s="19" t="s">
        <v>2567</v>
      </c>
      <c r="C1284" s="23"/>
      <c r="D1284" s="23"/>
      <c r="E1284" s="23"/>
      <c r="F1284" s="42"/>
      <c r="G1284" s="42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</row>
    <row r="1285">
      <c r="A1285" s="22" t="s">
        <v>2568</v>
      </c>
      <c r="B1285" s="14" t="s">
        <v>2569</v>
      </c>
      <c r="C1285" s="23"/>
      <c r="D1285" s="23"/>
      <c r="E1285" s="23"/>
      <c r="F1285" s="42"/>
      <c r="G1285" s="42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</row>
    <row r="1286">
      <c r="A1286" s="25" t="s">
        <v>2570</v>
      </c>
      <c r="B1286" s="19" t="s">
        <v>2571</v>
      </c>
      <c r="C1286" s="23"/>
      <c r="D1286" s="23"/>
      <c r="E1286" s="23"/>
      <c r="F1286" s="42"/>
      <c r="G1286" s="42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</row>
    <row r="1287">
      <c r="A1287" s="22" t="s">
        <v>2572</v>
      </c>
      <c r="B1287" s="14" t="s">
        <v>2573</v>
      </c>
      <c r="C1287" s="23"/>
      <c r="D1287" s="23"/>
      <c r="E1287" s="23"/>
      <c r="F1287" s="42"/>
      <c r="G1287" s="42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</row>
    <row r="1288">
      <c r="A1288" s="18" t="s">
        <v>2574</v>
      </c>
      <c r="B1288" s="19" t="s">
        <v>2575</v>
      </c>
      <c r="C1288" s="23"/>
      <c r="D1288" s="23"/>
      <c r="E1288" s="23"/>
      <c r="F1288" s="42"/>
      <c r="G1288" s="42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</row>
    <row r="1289">
      <c r="A1289" s="13" t="s">
        <v>2576</v>
      </c>
      <c r="B1289" s="14" t="s">
        <v>2577</v>
      </c>
      <c r="C1289" s="23"/>
      <c r="D1289" s="23"/>
      <c r="E1289" s="23"/>
      <c r="F1289" s="42"/>
      <c r="G1289" s="42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</row>
    <row r="1290">
      <c r="A1290" s="18" t="s">
        <v>2578</v>
      </c>
      <c r="B1290" s="19" t="s">
        <v>2579</v>
      </c>
      <c r="C1290" s="23"/>
      <c r="D1290" s="23"/>
      <c r="E1290" s="23"/>
      <c r="F1290" s="42"/>
      <c r="G1290" s="42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</row>
    <row r="1291">
      <c r="A1291" s="13" t="s">
        <v>2580</v>
      </c>
      <c r="B1291" s="14" t="s">
        <v>2581</v>
      </c>
      <c r="C1291" s="23"/>
      <c r="D1291" s="23"/>
      <c r="E1291" s="23"/>
      <c r="F1291" s="42"/>
      <c r="G1291" s="42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</row>
    <row r="1292">
      <c r="A1292" s="9" t="s">
        <v>2582</v>
      </c>
      <c r="B1292" s="10" t="s">
        <v>2583</v>
      </c>
      <c r="C1292" s="23"/>
      <c r="D1292" s="23"/>
      <c r="E1292" s="23"/>
      <c r="F1292" s="42"/>
      <c r="G1292" s="42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</row>
    <row r="1293">
      <c r="A1293" s="44" t="s">
        <v>2584</v>
      </c>
      <c r="B1293" s="45" t="s">
        <v>2585</v>
      </c>
      <c r="C1293" s="23"/>
      <c r="D1293" s="23"/>
      <c r="E1293" s="23"/>
      <c r="F1293" s="42"/>
      <c r="G1293" s="42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</row>
    <row r="1294">
      <c r="A1294" s="18" t="s">
        <v>2586</v>
      </c>
      <c r="B1294" s="19" t="s">
        <v>2587</v>
      </c>
      <c r="C1294" s="23"/>
      <c r="D1294" s="23"/>
      <c r="E1294" s="23"/>
      <c r="F1294" s="42"/>
      <c r="G1294" s="42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</row>
    <row r="1295">
      <c r="A1295" s="13" t="s">
        <v>2588</v>
      </c>
      <c r="B1295" s="14" t="s">
        <v>2589</v>
      </c>
      <c r="C1295" s="23"/>
      <c r="D1295" s="23"/>
      <c r="E1295" s="23"/>
      <c r="F1295" s="42"/>
      <c r="G1295" s="42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</row>
    <row r="1296">
      <c r="A1296" s="25" t="s">
        <v>2590</v>
      </c>
      <c r="B1296" s="19" t="s">
        <v>2591</v>
      </c>
      <c r="C1296" s="23"/>
      <c r="D1296" s="23"/>
      <c r="E1296" s="23"/>
      <c r="F1296" s="42"/>
      <c r="G1296" s="42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</row>
    <row r="1297">
      <c r="A1297" s="13" t="s">
        <v>2592</v>
      </c>
      <c r="B1297" s="14" t="s">
        <v>2593</v>
      </c>
      <c r="C1297" s="23"/>
      <c r="D1297" s="23"/>
      <c r="E1297" s="23"/>
      <c r="F1297" s="42"/>
      <c r="G1297" s="42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</row>
    <row r="1298">
      <c r="A1298" s="18" t="s">
        <v>2594</v>
      </c>
      <c r="B1298" s="19" t="s">
        <v>2595</v>
      </c>
      <c r="C1298" s="23"/>
      <c r="D1298" s="23"/>
      <c r="E1298" s="23"/>
      <c r="F1298" s="42"/>
      <c r="G1298" s="42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</row>
    <row r="1299">
      <c r="A1299" s="22" t="s">
        <v>2596</v>
      </c>
      <c r="B1299" s="14" t="s">
        <v>2597</v>
      </c>
      <c r="C1299" s="23"/>
      <c r="D1299" s="23"/>
      <c r="E1299" s="23"/>
      <c r="F1299" s="42"/>
      <c r="G1299" s="42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</row>
    <row r="1300">
      <c r="A1300" s="25" t="s">
        <v>2598</v>
      </c>
      <c r="B1300" s="19" t="s">
        <v>2599</v>
      </c>
      <c r="C1300" s="23"/>
      <c r="D1300" s="23"/>
      <c r="E1300" s="23"/>
      <c r="F1300" s="42"/>
      <c r="G1300" s="42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</row>
    <row r="1301">
      <c r="A1301" s="13" t="s">
        <v>2600</v>
      </c>
      <c r="B1301" s="14" t="s">
        <v>2601</v>
      </c>
      <c r="C1301" s="23"/>
      <c r="D1301" s="23"/>
      <c r="E1301" s="23"/>
      <c r="F1301" s="42"/>
      <c r="G1301" s="42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</row>
    <row r="1302">
      <c r="A1302" s="18" t="s">
        <v>2602</v>
      </c>
      <c r="B1302" s="19" t="s">
        <v>2603</v>
      </c>
      <c r="C1302" s="23"/>
      <c r="D1302" s="23"/>
      <c r="E1302" s="23"/>
      <c r="F1302" s="42"/>
      <c r="G1302" s="42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</row>
    <row r="1303">
      <c r="A1303" s="22" t="s">
        <v>2604</v>
      </c>
      <c r="B1303" s="14" t="s">
        <v>2605</v>
      </c>
      <c r="C1303" s="23"/>
      <c r="D1303" s="23"/>
      <c r="E1303" s="23"/>
      <c r="F1303" s="42"/>
      <c r="G1303" s="42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</row>
    <row r="1304">
      <c r="A1304" s="9" t="s">
        <v>2606</v>
      </c>
      <c r="B1304" s="10" t="s">
        <v>2607</v>
      </c>
      <c r="C1304" s="23"/>
      <c r="D1304" s="23"/>
      <c r="E1304" s="23"/>
      <c r="F1304" s="42"/>
      <c r="G1304" s="42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</row>
    <row r="1305">
      <c r="A1305" s="22" t="s">
        <v>2608</v>
      </c>
      <c r="B1305" s="14" t="s">
        <v>2609</v>
      </c>
      <c r="C1305" s="23"/>
      <c r="D1305" s="23"/>
      <c r="E1305" s="23"/>
      <c r="F1305" s="42"/>
      <c r="G1305" s="42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</row>
    <row r="1306">
      <c r="A1306" s="25" t="s">
        <v>2610</v>
      </c>
      <c r="B1306" s="19" t="s">
        <v>2611</v>
      </c>
      <c r="C1306" s="23"/>
      <c r="D1306" s="23"/>
      <c r="E1306" s="23"/>
      <c r="F1306" s="42"/>
      <c r="G1306" s="42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</row>
    <row r="1307">
      <c r="A1307" s="22" t="s">
        <v>2612</v>
      </c>
      <c r="B1307" s="14" t="s">
        <v>2613</v>
      </c>
      <c r="C1307" s="23"/>
      <c r="D1307" s="23"/>
      <c r="E1307" s="23"/>
      <c r="F1307" s="42"/>
      <c r="G1307" s="42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</row>
    <row r="1308">
      <c r="A1308" s="25" t="s">
        <v>2614</v>
      </c>
      <c r="B1308" s="19" t="s">
        <v>2615</v>
      </c>
      <c r="C1308" s="23"/>
      <c r="D1308" s="23"/>
      <c r="E1308" s="23"/>
      <c r="F1308" s="42"/>
      <c r="G1308" s="42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</row>
    <row r="1309">
      <c r="A1309" s="13" t="s">
        <v>2616</v>
      </c>
      <c r="B1309" s="14" t="s">
        <v>2617</v>
      </c>
      <c r="C1309" s="23"/>
      <c r="D1309" s="23"/>
      <c r="E1309" s="23"/>
      <c r="F1309" s="42"/>
      <c r="G1309" s="42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</row>
    <row r="1310">
      <c r="A1310" s="25" t="s">
        <v>2618</v>
      </c>
      <c r="B1310" s="19" t="s">
        <v>2619</v>
      </c>
      <c r="C1310" s="23"/>
      <c r="D1310" s="23"/>
      <c r="E1310" s="23"/>
      <c r="F1310" s="42"/>
      <c r="G1310" s="42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</row>
    <row r="1311">
      <c r="A1311" s="13" t="s">
        <v>2620</v>
      </c>
      <c r="B1311" s="14" t="s">
        <v>2621</v>
      </c>
      <c r="C1311" s="23"/>
      <c r="D1311" s="23"/>
      <c r="E1311" s="23"/>
      <c r="F1311" s="42"/>
      <c r="G1311" s="42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</row>
    <row r="1312">
      <c r="A1312" s="25" t="s">
        <v>2622</v>
      </c>
      <c r="B1312" s="19" t="s">
        <v>2623</v>
      </c>
      <c r="C1312" s="23"/>
      <c r="D1312" s="23"/>
      <c r="E1312" s="23"/>
      <c r="F1312" s="42"/>
      <c r="G1312" s="42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</row>
    <row r="1313">
      <c r="A1313" s="22" t="s">
        <v>2624</v>
      </c>
      <c r="B1313" s="14" t="s">
        <v>2625</v>
      </c>
      <c r="C1313" s="23"/>
      <c r="D1313" s="23"/>
      <c r="E1313" s="23"/>
      <c r="F1313" s="42"/>
      <c r="G1313" s="42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</row>
    <row r="1314">
      <c r="A1314" s="25" t="s">
        <v>2626</v>
      </c>
      <c r="B1314" s="19" t="s">
        <v>2627</v>
      </c>
      <c r="C1314" s="23"/>
      <c r="D1314" s="23"/>
      <c r="E1314" s="23"/>
      <c r="F1314" s="42"/>
      <c r="G1314" s="42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</row>
    <row r="1315">
      <c r="A1315" s="13" t="s">
        <v>2628</v>
      </c>
      <c r="B1315" s="26" t="s">
        <v>2629</v>
      </c>
      <c r="C1315" s="23"/>
      <c r="D1315" s="23"/>
      <c r="E1315" s="23"/>
      <c r="F1315" s="42"/>
      <c r="G1315" s="42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</row>
    <row r="1316">
      <c r="A1316" s="25" t="s">
        <v>2630</v>
      </c>
      <c r="B1316" s="19" t="s">
        <v>2631</v>
      </c>
      <c r="C1316" s="23"/>
      <c r="D1316" s="23"/>
      <c r="E1316" s="23"/>
      <c r="F1316" s="42"/>
      <c r="G1316" s="42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</row>
    <row r="1317">
      <c r="A1317" s="22" t="s">
        <v>2632</v>
      </c>
      <c r="B1317" s="14" t="s">
        <v>2633</v>
      </c>
      <c r="C1317" s="23"/>
      <c r="D1317" s="23"/>
      <c r="E1317" s="23"/>
      <c r="F1317" s="42"/>
      <c r="G1317" s="42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</row>
    <row r="1318">
      <c r="A1318" s="18" t="s">
        <v>2634</v>
      </c>
      <c r="B1318" s="19" t="s">
        <v>2635</v>
      </c>
      <c r="C1318" s="23"/>
      <c r="D1318" s="23"/>
      <c r="E1318" s="23"/>
      <c r="F1318" s="42"/>
      <c r="G1318" s="42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</row>
    <row r="1319">
      <c r="A1319" s="22" t="s">
        <v>2636</v>
      </c>
      <c r="B1319" s="14" t="s">
        <v>2637</v>
      </c>
      <c r="C1319" s="23"/>
      <c r="D1319" s="23"/>
      <c r="E1319" s="23"/>
      <c r="F1319" s="42"/>
      <c r="G1319" s="42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</row>
    <row r="1320">
      <c r="A1320" s="25" t="s">
        <v>2638</v>
      </c>
      <c r="B1320" s="19" t="s">
        <v>2639</v>
      </c>
      <c r="C1320" s="23"/>
      <c r="D1320" s="23"/>
      <c r="E1320" s="23"/>
      <c r="F1320" s="42"/>
      <c r="G1320" s="42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</row>
    <row r="1321">
      <c r="A1321" s="22" t="s">
        <v>2640</v>
      </c>
      <c r="B1321" s="14" t="s">
        <v>2641</v>
      </c>
      <c r="C1321" s="23"/>
      <c r="D1321" s="23"/>
      <c r="E1321" s="23"/>
      <c r="F1321" s="42"/>
      <c r="G1321" s="42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</row>
    <row r="1322">
      <c r="A1322" s="18" t="s">
        <v>2642</v>
      </c>
      <c r="B1322" s="19" t="s">
        <v>2643</v>
      </c>
      <c r="C1322" s="23"/>
      <c r="D1322" s="23"/>
      <c r="E1322" s="23"/>
      <c r="F1322" s="42"/>
      <c r="G1322" s="42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</row>
    <row r="1323">
      <c r="A1323" s="13" t="s">
        <v>2644</v>
      </c>
      <c r="B1323" s="14" t="s">
        <v>2645</v>
      </c>
      <c r="C1323" s="23"/>
      <c r="D1323" s="23"/>
      <c r="E1323" s="23"/>
      <c r="F1323" s="42"/>
      <c r="G1323" s="42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</row>
    <row r="1324">
      <c r="A1324" s="25" t="s">
        <v>2646</v>
      </c>
      <c r="B1324" s="19" t="s">
        <v>2647</v>
      </c>
      <c r="C1324" s="23"/>
      <c r="D1324" s="23"/>
      <c r="E1324" s="23"/>
      <c r="F1324" s="42"/>
      <c r="G1324" s="42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</row>
    <row r="1325">
      <c r="A1325" s="22" t="s">
        <v>2648</v>
      </c>
      <c r="B1325" s="14" t="s">
        <v>2649</v>
      </c>
      <c r="C1325" s="23"/>
      <c r="D1325" s="23"/>
      <c r="E1325" s="23"/>
      <c r="F1325" s="42"/>
      <c r="G1325" s="42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</row>
    <row r="1326">
      <c r="A1326" s="18" t="s">
        <v>2650</v>
      </c>
      <c r="B1326" s="19" t="s">
        <v>2651</v>
      </c>
      <c r="C1326" s="23"/>
      <c r="D1326" s="23"/>
      <c r="E1326" s="23"/>
      <c r="F1326" s="42"/>
      <c r="G1326" s="42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</row>
    <row r="1327">
      <c r="A1327" s="22" t="s">
        <v>2652</v>
      </c>
      <c r="B1327" s="14" t="s">
        <v>2653</v>
      </c>
      <c r="C1327" s="23"/>
      <c r="D1327" s="23"/>
      <c r="E1327" s="23"/>
      <c r="F1327" s="42"/>
      <c r="G1327" s="42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</row>
    <row r="1328">
      <c r="A1328" s="18" t="s">
        <v>2654</v>
      </c>
      <c r="B1328" s="19" t="s">
        <v>2655</v>
      </c>
      <c r="C1328" s="23"/>
      <c r="D1328" s="23"/>
      <c r="E1328" s="23"/>
      <c r="F1328" s="42"/>
      <c r="G1328" s="42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</row>
    <row r="1329">
      <c r="A1329" s="13" t="s">
        <v>2656</v>
      </c>
      <c r="B1329" s="14" t="s">
        <v>2657</v>
      </c>
      <c r="C1329" s="23"/>
      <c r="D1329" s="23"/>
      <c r="E1329" s="23"/>
      <c r="F1329" s="42"/>
      <c r="G1329" s="42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</row>
    <row r="1330">
      <c r="A1330" s="18" t="s">
        <v>2658</v>
      </c>
      <c r="B1330" s="33" t="s">
        <v>2659</v>
      </c>
      <c r="C1330" s="23"/>
      <c r="D1330" s="23"/>
      <c r="E1330" s="23"/>
      <c r="F1330" s="42"/>
      <c r="G1330" s="42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</row>
    <row r="1331">
      <c r="A1331" s="44" t="s">
        <v>2660</v>
      </c>
      <c r="B1331" s="46" t="s">
        <v>2661</v>
      </c>
      <c r="C1331" s="23"/>
      <c r="D1331" s="23"/>
      <c r="E1331" s="23"/>
      <c r="F1331" s="42"/>
      <c r="G1331" s="42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</row>
    <row r="1332">
      <c r="A1332" s="25" t="s">
        <v>2662</v>
      </c>
      <c r="B1332" s="19" t="s">
        <v>2663</v>
      </c>
      <c r="C1332" s="23"/>
      <c r="D1332" s="23"/>
      <c r="E1332" s="23"/>
      <c r="F1332" s="42"/>
      <c r="G1332" s="42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</row>
    <row r="1333">
      <c r="A1333" s="57" t="s">
        <v>2664</v>
      </c>
      <c r="B1333" s="14" t="s">
        <v>2665</v>
      </c>
      <c r="C1333" s="23"/>
      <c r="D1333" s="23"/>
      <c r="E1333" s="23"/>
      <c r="F1333" s="42"/>
      <c r="G1333" s="42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</row>
    <row r="1334">
      <c r="A1334" s="18" t="s">
        <v>2666</v>
      </c>
      <c r="B1334" s="19" t="s">
        <v>2667</v>
      </c>
      <c r="C1334" s="23"/>
      <c r="D1334" s="23"/>
      <c r="E1334" s="23"/>
      <c r="F1334" s="42"/>
      <c r="G1334" s="42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</row>
    <row r="1335">
      <c r="A1335" s="13" t="s">
        <v>2668</v>
      </c>
      <c r="B1335" s="14" t="s">
        <v>2669</v>
      </c>
      <c r="C1335" s="23"/>
      <c r="D1335" s="23"/>
      <c r="E1335" s="23"/>
      <c r="F1335" s="42"/>
      <c r="G1335" s="42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</row>
    <row r="1336">
      <c r="A1336" s="25" t="s">
        <v>2670</v>
      </c>
      <c r="B1336" s="19" t="s">
        <v>2671</v>
      </c>
      <c r="C1336" s="23"/>
      <c r="D1336" s="23"/>
      <c r="E1336" s="23"/>
      <c r="F1336" s="42"/>
      <c r="G1336" s="42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</row>
    <row r="1337">
      <c r="A1337" s="22" t="s">
        <v>2672</v>
      </c>
      <c r="B1337" s="14" t="s">
        <v>2673</v>
      </c>
      <c r="C1337" s="23"/>
      <c r="D1337" s="23"/>
      <c r="E1337" s="23"/>
      <c r="F1337" s="42"/>
      <c r="G1337" s="42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</row>
    <row r="1338">
      <c r="A1338" s="18" t="s">
        <v>2674</v>
      </c>
      <c r="B1338" s="19" t="s">
        <v>2675</v>
      </c>
      <c r="C1338" s="23"/>
      <c r="D1338" s="23"/>
      <c r="E1338" s="23"/>
      <c r="F1338" s="42"/>
      <c r="G1338" s="42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</row>
    <row r="1339">
      <c r="A1339" s="22" t="s">
        <v>2676</v>
      </c>
      <c r="B1339" s="14" t="s">
        <v>2677</v>
      </c>
      <c r="C1339" s="23"/>
      <c r="D1339" s="23"/>
      <c r="E1339" s="23"/>
      <c r="F1339" s="42"/>
      <c r="G1339" s="42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</row>
    <row r="1340">
      <c r="A1340" s="18" t="s">
        <v>2678</v>
      </c>
      <c r="B1340" s="33" t="s">
        <v>2679</v>
      </c>
      <c r="C1340" s="23"/>
      <c r="D1340" s="23"/>
      <c r="E1340" s="23"/>
      <c r="F1340" s="42"/>
      <c r="G1340" s="42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</row>
    <row r="1341">
      <c r="A1341" s="22" t="s">
        <v>2680</v>
      </c>
      <c r="B1341" s="14" t="s">
        <v>2681</v>
      </c>
      <c r="C1341" s="23"/>
      <c r="D1341" s="23"/>
      <c r="E1341" s="23"/>
      <c r="F1341" s="42"/>
      <c r="G1341" s="42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</row>
    <row r="1342">
      <c r="A1342" s="25" t="s">
        <v>2682</v>
      </c>
      <c r="B1342" s="19" t="s">
        <v>2683</v>
      </c>
      <c r="C1342" s="23"/>
      <c r="D1342" s="23"/>
      <c r="E1342" s="23"/>
      <c r="F1342" s="42"/>
      <c r="G1342" s="42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</row>
    <row r="1343">
      <c r="A1343" s="13" t="s">
        <v>2684</v>
      </c>
      <c r="B1343" s="14" t="s">
        <v>2685</v>
      </c>
      <c r="C1343" s="23"/>
      <c r="D1343" s="23"/>
      <c r="E1343" s="23"/>
      <c r="F1343" s="42"/>
      <c r="G1343" s="42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</row>
    <row r="1344">
      <c r="A1344" s="9" t="s">
        <v>2686</v>
      </c>
      <c r="B1344" s="10" t="s">
        <v>2687</v>
      </c>
      <c r="C1344" s="23"/>
      <c r="D1344" s="23"/>
      <c r="E1344" s="23"/>
      <c r="F1344" s="42"/>
      <c r="G1344" s="42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</row>
    <row r="1345">
      <c r="A1345" s="13" t="s">
        <v>2688</v>
      </c>
      <c r="B1345" s="14" t="s">
        <v>2689</v>
      </c>
      <c r="C1345" s="23"/>
      <c r="D1345" s="23"/>
      <c r="E1345" s="23"/>
      <c r="F1345" s="42"/>
      <c r="G1345" s="42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</row>
    <row r="1346">
      <c r="A1346" s="25" t="s">
        <v>2690</v>
      </c>
      <c r="B1346" s="19" t="s">
        <v>2691</v>
      </c>
      <c r="C1346" s="23"/>
      <c r="D1346" s="23"/>
      <c r="E1346" s="23"/>
      <c r="F1346" s="42"/>
      <c r="G1346" s="42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</row>
    <row r="1347">
      <c r="A1347" s="13" t="s">
        <v>2692</v>
      </c>
      <c r="B1347" s="14" t="s">
        <v>2693</v>
      </c>
      <c r="C1347" s="23"/>
      <c r="D1347" s="23"/>
      <c r="E1347" s="23"/>
      <c r="F1347" s="42"/>
      <c r="G1347" s="42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</row>
    <row r="1348">
      <c r="A1348" s="25" t="s">
        <v>2694</v>
      </c>
      <c r="B1348" s="19" t="s">
        <v>2695</v>
      </c>
      <c r="C1348" s="23"/>
      <c r="D1348" s="23"/>
      <c r="E1348" s="23"/>
      <c r="F1348" s="42"/>
      <c r="G1348" s="42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</row>
    <row r="1349">
      <c r="A1349" s="22" t="s">
        <v>2696</v>
      </c>
      <c r="B1349" s="14" t="s">
        <v>2697</v>
      </c>
      <c r="C1349" s="23"/>
      <c r="D1349" s="23"/>
      <c r="E1349" s="23"/>
      <c r="F1349" s="42"/>
      <c r="G1349" s="42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</row>
    <row r="1350">
      <c r="A1350" s="25" t="s">
        <v>2698</v>
      </c>
      <c r="B1350" s="19" t="s">
        <v>2699</v>
      </c>
      <c r="C1350" s="23"/>
      <c r="D1350" s="23"/>
      <c r="E1350" s="23"/>
      <c r="F1350" s="42"/>
      <c r="G1350" s="42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</row>
    <row r="1351">
      <c r="A1351" s="13" t="s">
        <v>2700</v>
      </c>
      <c r="B1351" s="14" t="s">
        <v>2701</v>
      </c>
      <c r="C1351" s="23"/>
      <c r="D1351" s="23"/>
      <c r="E1351" s="23"/>
      <c r="F1351" s="42"/>
      <c r="G1351" s="42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</row>
    <row r="1352">
      <c r="A1352" s="18" t="s">
        <v>2702</v>
      </c>
      <c r="B1352" s="19" t="s">
        <v>2703</v>
      </c>
      <c r="C1352" s="23"/>
      <c r="D1352" s="23"/>
      <c r="E1352" s="23"/>
      <c r="F1352" s="42"/>
      <c r="G1352" s="42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</row>
    <row r="1353">
      <c r="A1353" s="13" t="s">
        <v>2704</v>
      </c>
      <c r="B1353" s="14" t="s">
        <v>2705</v>
      </c>
      <c r="C1353" s="23"/>
      <c r="D1353" s="23"/>
      <c r="E1353" s="23"/>
      <c r="F1353" s="42"/>
      <c r="G1353" s="42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</row>
    <row r="1354">
      <c r="A1354" s="18" t="s">
        <v>2706</v>
      </c>
      <c r="B1354" s="19" t="s">
        <v>2707</v>
      </c>
      <c r="C1354" s="23"/>
      <c r="D1354" s="23"/>
      <c r="E1354" s="23"/>
      <c r="F1354" s="42"/>
      <c r="G1354" s="42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</row>
    <row r="1355">
      <c r="A1355" s="13" t="s">
        <v>2708</v>
      </c>
      <c r="B1355" s="26" t="s">
        <v>2709</v>
      </c>
      <c r="C1355" s="23"/>
      <c r="D1355" s="23"/>
      <c r="E1355" s="23"/>
      <c r="F1355" s="42"/>
      <c r="G1355" s="42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</row>
    <row r="1356">
      <c r="A1356" s="18" t="s">
        <v>2710</v>
      </c>
      <c r="B1356" s="33" t="s">
        <v>2711</v>
      </c>
      <c r="C1356" s="23"/>
      <c r="D1356" s="23"/>
      <c r="E1356" s="23"/>
      <c r="F1356" s="42"/>
      <c r="G1356" s="42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</row>
    <row r="1357">
      <c r="A1357" s="13" t="s">
        <v>2712</v>
      </c>
      <c r="B1357" s="14" t="s">
        <v>2713</v>
      </c>
      <c r="C1357" s="23"/>
      <c r="D1357" s="23"/>
      <c r="E1357" s="23"/>
      <c r="F1357" s="42"/>
      <c r="G1357" s="42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</row>
    <row r="1358">
      <c r="A1358" s="18" t="s">
        <v>2714</v>
      </c>
      <c r="B1358" s="19" t="s">
        <v>2715</v>
      </c>
      <c r="C1358" s="23"/>
      <c r="D1358" s="23"/>
      <c r="E1358" s="23"/>
      <c r="F1358" s="42"/>
      <c r="G1358" s="42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</row>
    <row r="1359">
      <c r="A1359" s="13" t="s">
        <v>2716</v>
      </c>
      <c r="B1359" s="14" t="s">
        <v>2717</v>
      </c>
      <c r="C1359" s="23"/>
      <c r="D1359" s="23"/>
      <c r="E1359" s="23"/>
      <c r="F1359" s="42"/>
      <c r="G1359" s="42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</row>
    <row r="1360">
      <c r="A1360" s="25" t="s">
        <v>2718</v>
      </c>
      <c r="B1360" s="19" t="s">
        <v>2719</v>
      </c>
      <c r="C1360" s="23"/>
      <c r="D1360" s="23"/>
      <c r="E1360" s="23"/>
      <c r="F1360" s="42"/>
      <c r="G1360" s="42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</row>
    <row r="1361">
      <c r="A1361" s="13" t="s">
        <v>2720</v>
      </c>
      <c r="B1361" s="14" t="s">
        <v>2721</v>
      </c>
      <c r="C1361" s="23"/>
      <c r="D1361" s="23"/>
      <c r="E1361" s="23"/>
      <c r="F1361" s="42"/>
      <c r="G1361" s="42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</row>
    <row r="1362">
      <c r="A1362" s="25" t="s">
        <v>2722</v>
      </c>
      <c r="B1362" s="19" t="s">
        <v>2723</v>
      </c>
      <c r="C1362" s="23"/>
      <c r="D1362" s="23"/>
      <c r="E1362" s="23"/>
      <c r="F1362" s="42"/>
      <c r="G1362" s="42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</row>
    <row r="1363">
      <c r="A1363" s="22" t="s">
        <v>2724</v>
      </c>
      <c r="B1363" s="14" t="s">
        <v>2725</v>
      </c>
      <c r="C1363" s="23"/>
      <c r="D1363" s="23"/>
      <c r="E1363" s="23"/>
      <c r="F1363" s="42"/>
      <c r="G1363" s="42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</row>
    <row r="1364">
      <c r="A1364" s="25" t="s">
        <v>2726</v>
      </c>
      <c r="B1364" s="19" t="s">
        <v>2727</v>
      </c>
      <c r="C1364" s="23"/>
      <c r="D1364" s="23"/>
      <c r="E1364" s="23"/>
      <c r="F1364" s="42"/>
      <c r="G1364" s="42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</row>
    <row r="1365">
      <c r="A1365" s="22" t="s">
        <v>2728</v>
      </c>
      <c r="B1365" s="14" t="s">
        <v>2729</v>
      </c>
      <c r="C1365" s="23"/>
      <c r="D1365" s="23"/>
      <c r="E1365" s="23"/>
      <c r="F1365" s="42"/>
      <c r="G1365" s="42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</row>
    <row r="1366">
      <c r="A1366" s="18" t="s">
        <v>2730</v>
      </c>
      <c r="B1366" s="19" t="s">
        <v>2731</v>
      </c>
      <c r="C1366" s="23"/>
      <c r="D1366" s="23"/>
      <c r="E1366" s="23"/>
      <c r="F1366" s="42"/>
      <c r="G1366" s="42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</row>
    <row r="1367">
      <c r="A1367" s="22" t="s">
        <v>2732</v>
      </c>
      <c r="B1367" s="14" t="s">
        <v>2733</v>
      </c>
      <c r="C1367" s="23"/>
      <c r="D1367" s="23"/>
      <c r="E1367" s="23"/>
      <c r="F1367" s="42"/>
      <c r="G1367" s="42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</row>
    <row r="1368">
      <c r="A1368" s="18" t="s">
        <v>2734</v>
      </c>
      <c r="B1368" s="19" t="s">
        <v>2735</v>
      </c>
      <c r="C1368" s="23"/>
      <c r="D1368" s="23"/>
      <c r="E1368" s="23"/>
      <c r="F1368" s="42"/>
      <c r="G1368" s="42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</row>
    <row r="1369">
      <c r="A1369" s="13" t="s">
        <v>2736</v>
      </c>
      <c r="B1369" s="14" t="s">
        <v>2737</v>
      </c>
      <c r="C1369" s="23"/>
      <c r="D1369" s="23"/>
      <c r="E1369" s="23"/>
      <c r="F1369" s="42"/>
      <c r="G1369" s="42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</row>
    <row r="1370">
      <c r="A1370" s="25" t="s">
        <v>2738</v>
      </c>
      <c r="B1370" s="19" t="s">
        <v>2739</v>
      </c>
      <c r="C1370" s="23"/>
      <c r="D1370" s="23"/>
      <c r="E1370" s="23"/>
      <c r="F1370" s="42"/>
      <c r="G1370" s="42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</row>
    <row r="1371">
      <c r="A1371" s="13" t="s">
        <v>2740</v>
      </c>
      <c r="B1371" s="14" t="s">
        <v>2741</v>
      </c>
      <c r="C1371" s="23"/>
      <c r="D1371" s="23"/>
      <c r="E1371" s="23"/>
      <c r="F1371" s="42"/>
      <c r="G1371" s="42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</row>
    <row r="1372">
      <c r="A1372" s="25" t="s">
        <v>2742</v>
      </c>
      <c r="B1372" s="19" t="s">
        <v>2743</v>
      </c>
      <c r="C1372" s="23"/>
      <c r="D1372" s="23"/>
      <c r="E1372" s="23"/>
      <c r="F1372" s="42"/>
      <c r="G1372" s="42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</row>
    <row r="1373">
      <c r="A1373" s="22" t="s">
        <v>2744</v>
      </c>
      <c r="B1373" s="14" t="s">
        <v>2745</v>
      </c>
      <c r="C1373" s="23"/>
      <c r="D1373" s="23"/>
      <c r="E1373" s="23"/>
      <c r="F1373" s="42"/>
      <c r="G1373" s="42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</row>
    <row r="1374">
      <c r="A1374" s="9" t="s">
        <v>2746</v>
      </c>
      <c r="B1374" s="10" t="s">
        <v>2747</v>
      </c>
      <c r="C1374" s="23"/>
      <c r="D1374" s="23"/>
      <c r="E1374" s="23"/>
      <c r="F1374" s="42"/>
      <c r="G1374" s="42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</row>
    <row r="1375">
      <c r="A1375" s="22" t="s">
        <v>2748</v>
      </c>
      <c r="B1375" s="14" t="s">
        <v>2749</v>
      </c>
      <c r="C1375" s="23"/>
      <c r="D1375" s="23"/>
      <c r="E1375" s="23"/>
      <c r="F1375" s="42"/>
      <c r="G1375" s="42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</row>
    <row r="1376">
      <c r="A1376" s="25" t="s">
        <v>2750</v>
      </c>
      <c r="B1376" s="19" t="s">
        <v>2751</v>
      </c>
      <c r="C1376" s="23"/>
      <c r="D1376" s="23"/>
      <c r="E1376" s="23"/>
      <c r="F1376" s="42"/>
      <c r="G1376" s="42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</row>
    <row r="1377">
      <c r="A1377" s="44" t="s">
        <v>2752</v>
      </c>
      <c r="B1377" s="45" t="s">
        <v>2753</v>
      </c>
      <c r="C1377" s="23"/>
      <c r="D1377" s="23"/>
      <c r="E1377" s="23"/>
      <c r="F1377" s="42"/>
      <c r="G1377" s="42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</row>
    <row r="1378">
      <c r="A1378" s="18" t="s">
        <v>2754</v>
      </c>
      <c r="B1378" s="19" t="s">
        <v>2755</v>
      </c>
      <c r="C1378" s="23"/>
      <c r="D1378" s="23"/>
      <c r="E1378" s="23"/>
      <c r="F1378" s="42"/>
      <c r="G1378" s="42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</row>
    <row r="1379">
      <c r="A1379" s="13" t="s">
        <v>2756</v>
      </c>
      <c r="B1379" s="14" t="s">
        <v>2757</v>
      </c>
      <c r="C1379" s="23"/>
      <c r="D1379" s="23"/>
      <c r="E1379" s="23"/>
      <c r="F1379" s="42"/>
      <c r="G1379" s="42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</row>
    <row r="1380">
      <c r="A1380" s="25" t="s">
        <v>2758</v>
      </c>
      <c r="B1380" s="19" t="s">
        <v>2759</v>
      </c>
      <c r="C1380" s="23"/>
      <c r="D1380" s="23"/>
      <c r="E1380" s="23"/>
      <c r="F1380" s="42"/>
      <c r="G1380" s="42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</row>
    <row r="1381">
      <c r="A1381" s="22" t="s">
        <v>2760</v>
      </c>
      <c r="B1381" s="14" t="s">
        <v>2761</v>
      </c>
      <c r="C1381" s="23"/>
      <c r="D1381" s="23"/>
      <c r="E1381" s="23"/>
      <c r="F1381" s="42"/>
      <c r="G1381" s="42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</row>
    <row r="1382">
      <c r="A1382" s="25" t="s">
        <v>2762</v>
      </c>
      <c r="B1382" s="19" t="s">
        <v>2763</v>
      </c>
      <c r="C1382" s="23"/>
      <c r="D1382" s="23"/>
      <c r="E1382" s="23"/>
      <c r="F1382" s="42"/>
      <c r="G1382" s="42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</row>
    <row r="1383">
      <c r="A1383" s="44" t="s">
        <v>2764</v>
      </c>
      <c r="B1383" s="45" t="s">
        <v>2765</v>
      </c>
      <c r="C1383" s="23"/>
      <c r="D1383" s="23"/>
      <c r="E1383" s="23"/>
      <c r="F1383" s="42"/>
      <c r="G1383" s="42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</row>
    <row r="1384">
      <c r="A1384" s="25" t="s">
        <v>2766</v>
      </c>
      <c r="B1384" s="33" t="s">
        <v>2767</v>
      </c>
      <c r="C1384" s="23"/>
      <c r="D1384" s="23"/>
      <c r="E1384" s="23"/>
      <c r="F1384" s="42"/>
      <c r="G1384" s="42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</row>
    <row r="1385">
      <c r="A1385" s="13" t="s">
        <v>2768</v>
      </c>
      <c r="B1385" s="14" t="s">
        <v>2769</v>
      </c>
      <c r="C1385" s="23"/>
      <c r="D1385" s="23"/>
      <c r="E1385" s="23"/>
      <c r="F1385" s="42"/>
      <c r="G1385" s="42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</row>
    <row r="1386">
      <c r="A1386" s="9" t="s">
        <v>2770</v>
      </c>
      <c r="B1386" s="10" t="s">
        <v>2771</v>
      </c>
      <c r="C1386" s="23"/>
      <c r="D1386" s="23"/>
      <c r="E1386" s="23"/>
      <c r="F1386" s="42"/>
      <c r="G1386" s="42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</row>
    <row r="1387">
      <c r="A1387" s="13" t="s">
        <v>2772</v>
      </c>
      <c r="B1387" s="14" t="s">
        <v>2773</v>
      </c>
      <c r="C1387" s="23"/>
      <c r="D1387" s="23"/>
      <c r="E1387" s="23"/>
      <c r="F1387" s="42"/>
      <c r="G1387" s="42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</row>
    <row r="1388">
      <c r="A1388" s="18" t="s">
        <v>2774</v>
      </c>
      <c r="B1388" s="19" t="s">
        <v>2775</v>
      </c>
      <c r="C1388" s="23"/>
      <c r="D1388" s="23"/>
      <c r="E1388" s="23"/>
      <c r="F1388" s="42"/>
      <c r="G1388" s="42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</row>
    <row r="1389">
      <c r="A1389" s="22" t="s">
        <v>2776</v>
      </c>
      <c r="B1389" s="14" t="s">
        <v>2777</v>
      </c>
      <c r="C1389" s="23"/>
      <c r="D1389" s="23"/>
      <c r="E1389" s="23"/>
      <c r="F1389" s="42"/>
      <c r="G1389" s="42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</row>
    <row r="1390">
      <c r="A1390" s="18" t="s">
        <v>2778</v>
      </c>
      <c r="B1390" s="19" t="s">
        <v>2779</v>
      </c>
      <c r="C1390" s="23"/>
      <c r="D1390" s="23"/>
      <c r="E1390" s="23"/>
      <c r="F1390" s="42"/>
      <c r="G1390" s="42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</row>
    <row r="1391">
      <c r="A1391" s="13" t="s">
        <v>2780</v>
      </c>
      <c r="B1391" s="14" t="s">
        <v>2781</v>
      </c>
      <c r="C1391" s="23"/>
      <c r="D1391" s="23"/>
      <c r="E1391" s="23"/>
      <c r="F1391" s="42"/>
      <c r="G1391" s="42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</row>
    <row r="1392">
      <c r="A1392" s="18" t="s">
        <v>2782</v>
      </c>
      <c r="B1392" s="19" t="s">
        <v>2783</v>
      </c>
      <c r="C1392" s="23"/>
      <c r="D1392" s="23"/>
      <c r="E1392" s="23"/>
      <c r="F1392" s="42"/>
      <c r="G1392" s="42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</row>
    <row r="1393">
      <c r="A1393" s="13" t="s">
        <v>2784</v>
      </c>
      <c r="B1393" s="26" t="s">
        <v>2785</v>
      </c>
      <c r="C1393" s="23"/>
      <c r="D1393" s="23"/>
      <c r="E1393" s="23"/>
      <c r="F1393" s="42"/>
      <c r="G1393" s="42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</row>
    <row r="1394">
      <c r="A1394" s="25" t="s">
        <v>2786</v>
      </c>
      <c r="B1394" s="19" t="s">
        <v>2787</v>
      </c>
      <c r="C1394" s="23"/>
      <c r="D1394" s="23"/>
      <c r="E1394" s="23"/>
      <c r="F1394" s="42"/>
      <c r="G1394" s="42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</row>
    <row r="1395">
      <c r="A1395" s="22" t="s">
        <v>2788</v>
      </c>
      <c r="B1395" s="14" t="s">
        <v>2789</v>
      </c>
      <c r="C1395" s="23"/>
      <c r="D1395" s="23"/>
      <c r="E1395" s="23"/>
      <c r="F1395" s="42"/>
      <c r="G1395" s="42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</row>
    <row r="1396">
      <c r="A1396" s="25" t="s">
        <v>2790</v>
      </c>
      <c r="B1396" s="19" t="s">
        <v>2791</v>
      </c>
      <c r="C1396" s="23"/>
      <c r="D1396" s="23"/>
      <c r="E1396" s="23"/>
      <c r="F1396" s="42"/>
      <c r="G1396" s="42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</row>
    <row r="1397">
      <c r="A1397" s="13" t="s">
        <v>2792</v>
      </c>
      <c r="B1397" s="14" t="s">
        <v>2793</v>
      </c>
      <c r="C1397" s="23"/>
      <c r="D1397" s="23"/>
      <c r="E1397" s="23"/>
      <c r="F1397" s="42"/>
      <c r="G1397" s="42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</row>
    <row r="1398">
      <c r="A1398" s="18" t="s">
        <v>2794</v>
      </c>
      <c r="B1398" s="33" t="s">
        <v>2795</v>
      </c>
      <c r="C1398" s="23"/>
      <c r="D1398" s="23"/>
      <c r="E1398" s="23"/>
      <c r="F1398" s="42"/>
      <c r="G1398" s="42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</row>
    <row r="1399">
      <c r="A1399" s="13" t="s">
        <v>2796</v>
      </c>
      <c r="B1399" s="14" t="s">
        <v>2797</v>
      </c>
      <c r="C1399" s="23"/>
      <c r="D1399" s="23"/>
      <c r="E1399" s="23"/>
      <c r="F1399" s="42"/>
      <c r="G1399" s="42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</row>
    <row r="1400">
      <c r="A1400" s="25" t="s">
        <v>2798</v>
      </c>
      <c r="B1400" s="19" t="s">
        <v>2799</v>
      </c>
      <c r="C1400" s="23"/>
      <c r="D1400" s="23"/>
      <c r="E1400" s="23"/>
      <c r="F1400" s="42"/>
      <c r="G1400" s="42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</row>
    <row r="1401">
      <c r="A1401" s="13" t="s">
        <v>2800</v>
      </c>
      <c r="B1401" s="14" t="s">
        <v>2801</v>
      </c>
      <c r="C1401" s="23"/>
      <c r="D1401" s="23"/>
      <c r="E1401" s="23"/>
      <c r="F1401" s="42"/>
      <c r="G1401" s="42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</row>
    <row r="1402">
      <c r="A1402" s="18" t="s">
        <v>2802</v>
      </c>
      <c r="B1402" s="33" t="s">
        <v>2803</v>
      </c>
      <c r="C1402" s="23"/>
      <c r="D1402" s="23"/>
      <c r="E1402" s="23"/>
      <c r="F1402" s="42"/>
      <c r="G1402" s="42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</row>
    <row r="1403">
      <c r="A1403" s="13" t="s">
        <v>2804</v>
      </c>
      <c r="B1403" s="26" t="s">
        <v>2805</v>
      </c>
      <c r="C1403" s="23"/>
      <c r="D1403" s="23"/>
      <c r="E1403" s="23"/>
      <c r="F1403" s="42"/>
      <c r="G1403" s="42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</row>
    <row r="1404">
      <c r="A1404" s="18" t="s">
        <v>2806</v>
      </c>
      <c r="B1404" s="19" t="s">
        <v>2807</v>
      </c>
      <c r="C1404" s="23"/>
      <c r="D1404" s="23"/>
      <c r="E1404" s="23"/>
      <c r="F1404" s="42"/>
      <c r="G1404" s="42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</row>
    <row r="1405">
      <c r="A1405" s="13" t="s">
        <v>2808</v>
      </c>
      <c r="B1405" s="14" t="s">
        <v>2809</v>
      </c>
      <c r="C1405" s="23"/>
      <c r="D1405" s="23"/>
      <c r="E1405" s="23"/>
      <c r="F1405" s="42"/>
      <c r="G1405" s="42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</row>
    <row r="1406">
      <c r="A1406" s="18" t="s">
        <v>2810</v>
      </c>
      <c r="B1406" s="19" t="s">
        <v>2811</v>
      </c>
      <c r="C1406" s="23"/>
      <c r="D1406" s="23"/>
      <c r="E1406" s="23"/>
      <c r="F1406" s="42"/>
      <c r="G1406" s="42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</row>
    <row r="1407">
      <c r="A1407" s="22" t="s">
        <v>2812</v>
      </c>
      <c r="B1407" s="14" t="s">
        <v>2813</v>
      </c>
      <c r="C1407" s="23"/>
      <c r="D1407" s="23"/>
      <c r="E1407" s="23"/>
      <c r="F1407" s="42"/>
      <c r="G1407" s="42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</row>
    <row r="1408">
      <c r="A1408" s="18" t="s">
        <v>2814</v>
      </c>
      <c r="B1408" s="19" t="s">
        <v>2815</v>
      </c>
      <c r="C1408" s="23"/>
      <c r="D1408" s="23"/>
      <c r="E1408" s="23"/>
      <c r="F1408" s="42"/>
      <c r="G1408" s="42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</row>
    <row r="1409">
      <c r="A1409" s="13" t="s">
        <v>2816</v>
      </c>
      <c r="B1409" s="14" t="s">
        <v>2817</v>
      </c>
      <c r="C1409" s="23"/>
      <c r="D1409" s="23"/>
      <c r="E1409" s="23"/>
      <c r="F1409" s="42"/>
      <c r="G1409" s="42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</row>
    <row r="1410">
      <c r="A1410" s="25" t="s">
        <v>2818</v>
      </c>
      <c r="B1410" s="19" t="s">
        <v>2819</v>
      </c>
      <c r="C1410" s="23"/>
      <c r="D1410" s="23"/>
      <c r="E1410" s="23"/>
      <c r="F1410" s="42"/>
      <c r="G1410" s="42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</row>
    <row r="1411">
      <c r="A1411" s="44" t="s">
        <v>2820</v>
      </c>
      <c r="B1411" s="45" t="s">
        <v>2821</v>
      </c>
      <c r="C1411" s="23"/>
      <c r="D1411" s="23"/>
      <c r="E1411" s="23"/>
      <c r="F1411" s="42"/>
      <c r="G1411" s="42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</row>
    <row r="1412">
      <c r="A1412" s="25" t="s">
        <v>2822</v>
      </c>
      <c r="B1412" s="19" t="s">
        <v>2823</v>
      </c>
      <c r="C1412" s="23"/>
      <c r="D1412" s="23"/>
      <c r="E1412" s="23"/>
      <c r="F1412" s="42"/>
      <c r="G1412" s="42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</row>
    <row r="1413">
      <c r="A1413" s="22" t="s">
        <v>2824</v>
      </c>
      <c r="B1413" s="14" t="s">
        <v>2825</v>
      </c>
      <c r="C1413" s="23"/>
      <c r="D1413" s="23"/>
      <c r="E1413" s="23"/>
      <c r="F1413" s="42"/>
      <c r="G1413" s="42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</row>
    <row r="1414">
      <c r="A1414" s="25" t="s">
        <v>2826</v>
      </c>
      <c r="B1414" s="19" t="s">
        <v>2827</v>
      </c>
      <c r="C1414" s="23"/>
      <c r="D1414" s="23"/>
      <c r="E1414" s="23"/>
      <c r="F1414" s="42"/>
      <c r="G1414" s="42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</row>
    <row r="1415">
      <c r="A1415" s="22" t="s">
        <v>2828</v>
      </c>
      <c r="B1415" s="14" t="s">
        <v>2829</v>
      </c>
      <c r="C1415" s="23"/>
      <c r="D1415" s="23"/>
      <c r="E1415" s="23"/>
      <c r="F1415" s="42"/>
      <c r="G1415" s="42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</row>
    <row r="1416">
      <c r="A1416" s="25" t="s">
        <v>2830</v>
      </c>
      <c r="B1416" s="19" t="s">
        <v>2831</v>
      </c>
      <c r="C1416" s="23"/>
      <c r="D1416" s="23"/>
      <c r="E1416" s="23"/>
      <c r="F1416" s="42"/>
      <c r="G1416" s="42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</row>
    <row r="1417">
      <c r="A1417" s="13" t="s">
        <v>2832</v>
      </c>
      <c r="B1417" s="14" t="s">
        <v>2833</v>
      </c>
      <c r="C1417" s="23"/>
      <c r="D1417" s="23"/>
      <c r="E1417" s="23"/>
      <c r="F1417" s="42"/>
      <c r="G1417" s="42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</row>
    <row r="1418">
      <c r="A1418" s="18" t="s">
        <v>2834</v>
      </c>
      <c r="B1418" s="19" t="s">
        <v>2835</v>
      </c>
      <c r="C1418" s="23"/>
      <c r="D1418" s="23"/>
      <c r="E1418" s="23"/>
      <c r="F1418" s="42"/>
      <c r="G1418" s="42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</row>
    <row r="1419">
      <c r="A1419" s="22" t="s">
        <v>2836</v>
      </c>
      <c r="B1419" s="14" t="s">
        <v>2837</v>
      </c>
      <c r="C1419" s="23"/>
      <c r="D1419" s="23"/>
      <c r="E1419" s="23"/>
      <c r="F1419" s="42"/>
      <c r="G1419" s="42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</row>
    <row r="1420">
      <c r="A1420" s="18" t="s">
        <v>2838</v>
      </c>
      <c r="B1420" s="33" t="s">
        <v>2839</v>
      </c>
      <c r="C1420" s="23"/>
      <c r="D1420" s="23"/>
      <c r="E1420" s="23"/>
      <c r="F1420" s="42"/>
      <c r="G1420" s="42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</row>
    <row r="1421">
      <c r="A1421" s="13" t="s">
        <v>2840</v>
      </c>
      <c r="B1421" s="26" t="s">
        <v>2841</v>
      </c>
      <c r="C1421" s="23"/>
      <c r="D1421" s="23"/>
      <c r="E1421" s="23"/>
      <c r="F1421" s="42"/>
      <c r="G1421" s="42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</row>
    <row r="1422">
      <c r="A1422" s="25" t="s">
        <v>2842</v>
      </c>
      <c r="B1422" s="19" t="s">
        <v>2843</v>
      </c>
      <c r="C1422" s="23"/>
      <c r="D1422" s="23"/>
      <c r="E1422" s="23"/>
      <c r="F1422" s="42"/>
      <c r="G1422" s="42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</row>
    <row r="1423">
      <c r="A1423" s="13" t="s">
        <v>2844</v>
      </c>
      <c r="B1423" s="14" t="s">
        <v>2845</v>
      </c>
      <c r="C1423" s="23"/>
      <c r="D1423" s="23"/>
      <c r="E1423" s="23"/>
      <c r="F1423" s="42"/>
      <c r="G1423" s="42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</row>
    <row r="1424">
      <c r="A1424" s="25" t="s">
        <v>2846</v>
      </c>
      <c r="B1424" s="19" t="s">
        <v>2847</v>
      </c>
      <c r="C1424" s="23"/>
      <c r="D1424" s="23"/>
      <c r="E1424" s="23"/>
      <c r="F1424" s="42"/>
      <c r="G1424" s="42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</row>
    <row r="1425">
      <c r="A1425" s="13" t="s">
        <v>2848</v>
      </c>
      <c r="B1425" s="14" t="s">
        <v>2849</v>
      </c>
      <c r="C1425" s="23"/>
      <c r="D1425" s="23"/>
      <c r="E1425" s="23"/>
      <c r="F1425" s="42"/>
      <c r="G1425" s="42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</row>
    <row r="1426">
      <c r="A1426" s="25" t="s">
        <v>2850</v>
      </c>
      <c r="B1426" s="19" t="s">
        <v>2851</v>
      </c>
      <c r="C1426" s="23"/>
      <c r="D1426" s="23"/>
      <c r="E1426" s="23"/>
      <c r="F1426" s="42"/>
      <c r="G1426" s="42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</row>
    <row r="1427">
      <c r="A1427" s="22" t="s">
        <v>2852</v>
      </c>
      <c r="B1427" s="14" t="s">
        <v>2853</v>
      </c>
      <c r="C1427" s="23"/>
      <c r="D1427" s="23"/>
      <c r="E1427" s="23"/>
      <c r="F1427" s="42"/>
      <c r="G1427" s="42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</row>
    <row r="1428">
      <c r="A1428" s="25" t="s">
        <v>2854</v>
      </c>
      <c r="B1428" s="19" t="s">
        <v>2855</v>
      </c>
      <c r="C1428" s="23"/>
      <c r="D1428" s="23"/>
      <c r="E1428" s="23"/>
      <c r="F1428" s="42"/>
      <c r="G1428" s="42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</row>
    <row r="1429">
      <c r="A1429" s="22" t="s">
        <v>2856</v>
      </c>
      <c r="B1429" s="14" t="s">
        <v>2857</v>
      </c>
      <c r="C1429" s="23"/>
      <c r="D1429" s="23"/>
      <c r="E1429" s="23"/>
      <c r="F1429" s="42"/>
      <c r="G1429" s="42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</row>
    <row r="1430">
      <c r="A1430" s="25" t="s">
        <v>2858</v>
      </c>
      <c r="B1430" s="19" t="s">
        <v>2859</v>
      </c>
      <c r="C1430" s="23"/>
      <c r="D1430" s="23"/>
      <c r="E1430" s="23"/>
      <c r="F1430" s="42"/>
      <c r="G1430" s="42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</row>
    <row r="1431">
      <c r="A1431" s="22" t="s">
        <v>2860</v>
      </c>
      <c r="B1431" s="14" t="s">
        <v>2861</v>
      </c>
      <c r="C1431" s="23"/>
      <c r="D1431" s="23"/>
      <c r="E1431" s="23"/>
      <c r="F1431" s="42"/>
      <c r="G1431" s="42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</row>
    <row r="1432">
      <c r="A1432" s="18" t="s">
        <v>2862</v>
      </c>
      <c r="B1432" s="19" t="s">
        <v>2863</v>
      </c>
      <c r="C1432" s="23"/>
      <c r="D1432" s="23"/>
      <c r="E1432" s="23"/>
      <c r="F1432" s="42"/>
      <c r="G1432" s="42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</row>
    <row r="1433">
      <c r="A1433" s="22" t="s">
        <v>2864</v>
      </c>
      <c r="B1433" s="26" t="s">
        <v>2865</v>
      </c>
      <c r="C1433" s="23"/>
      <c r="D1433" s="23"/>
      <c r="E1433" s="23"/>
      <c r="F1433" s="42"/>
      <c r="G1433" s="42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</row>
    <row r="1434">
      <c r="A1434" s="18" t="s">
        <v>2866</v>
      </c>
      <c r="B1434" s="19" t="s">
        <v>2867</v>
      </c>
      <c r="C1434" s="23"/>
      <c r="D1434" s="23"/>
      <c r="E1434" s="23"/>
      <c r="F1434" s="42"/>
      <c r="G1434" s="42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</row>
    <row r="1435">
      <c r="A1435" s="13" t="s">
        <v>2868</v>
      </c>
      <c r="B1435" s="14" t="s">
        <v>2869</v>
      </c>
      <c r="C1435" s="23"/>
      <c r="D1435" s="23"/>
      <c r="E1435" s="23"/>
      <c r="F1435" s="42"/>
      <c r="G1435" s="42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</row>
    <row r="1436">
      <c r="A1436" s="18" t="s">
        <v>2870</v>
      </c>
      <c r="B1436" s="19" t="s">
        <v>2871</v>
      </c>
      <c r="C1436" s="23"/>
      <c r="D1436" s="23"/>
      <c r="E1436" s="23"/>
      <c r="F1436" s="42"/>
      <c r="G1436" s="42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</row>
    <row r="1437">
      <c r="A1437" s="13" t="s">
        <v>2872</v>
      </c>
      <c r="B1437" s="14" t="s">
        <v>2873</v>
      </c>
      <c r="C1437" s="23"/>
      <c r="D1437" s="23"/>
      <c r="E1437" s="23"/>
      <c r="F1437" s="42"/>
      <c r="G1437" s="42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</row>
    <row r="1438">
      <c r="A1438" s="25" t="s">
        <v>2874</v>
      </c>
      <c r="B1438" s="19" t="s">
        <v>2875</v>
      </c>
      <c r="C1438" s="23"/>
      <c r="D1438" s="23"/>
      <c r="E1438" s="23"/>
      <c r="F1438" s="42"/>
      <c r="G1438" s="42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</row>
    <row r="1439">
      <c r="A1439" s="22" t="s">
        <v>2876</v>
      </c>
      <c r="B1439" s="14" t="s">
        <v>2877</v>
      </c>
      <c r="C1439" s="23"/>
      <c r="D1439" s="23"/>
      <c r="E1439" s="23"/>
      <c r="F1439" s="42"/>
      <c r="G1439" s="42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</row>
    <row r="1440">
      <c r="A1440" s="18" t="s">
        <v>2878</v>
      </c>
      <c r="B1440" s="19" t="s">
        <v>2879</v>
      </c>
      <c r="C1440" s="23"/>
      <c r="D1440" s="23"/>
      <c r="E1440" s="23"/>
      <c r="F1440" s="42"/>
      <c r="G1440" s="42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</row>
    <row r="1441">
      <c r="A1441" s="22" t="s">
        <v>2880</v>
      </c>
      <c r="B1441" s="14" t="s">
        <v>2881</v>
      </c>
      <c r="C1441" s="23"/>
      <c r="D1441" s="23"/>
      <c r="E1441" s="23"/>
      <c r="F1441" s="42"/>
      <c r="G1441" s="42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</row>
    <row r="1442">
      <c r="A1442" s="25" t="s">
        <v>2882</v>
      </c>
      <c r="B1442" s="19" t="s">
        <v>2883</v>
      </c>
      <c r="C1442" s="23"/>
      <c r="D1442" s="23"/>
      <c r="E1442" s="23"/>
      <c r="F1442" s="42"/>
      <c r="G1442" s="42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</row>
    <row r="1443">
      <c r="A1443" s="22" t="s">
        <v>2884</v>
      </c>
      <c r="B1443" s="14" t="s">
        <v>2885</v>
      </c>
      <c r="C1443" s="23"/>
      <c r="D1443" s="23"/>
      <c r="E1443" s="23"/>
      <c r="F1443" s="42"/>
      <c r="G1443" s="42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</row>
    <row r="1444">
      <c r="A1444" s="54" t="s">
        <v>2886</v>
      </c>
      <c r="B1444" s="19" t="s">
        <v>2887</v>
      </c>
      <c r="C1444" s="23"/>
      <c r="D1444" s="23"/>
      <c r="E1444" s="23"/>
      <c r="F1444" s="42"/>
      <c r="G1444" s="42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</row>
    <row r="1445">
      <c r="A1445" s="13" t="s">
        <v>2888</v>
      </c>
      <c r="B1445" s="26" t="s">
        <v>2889</v>
      </c>
      <c r="C1445" s="23"/>
      <c r="D1445" s="23"/>
      <c r="E1445" s="23"/>
      <c r="F1445" s="42"/>
      <c r="G1445" s="42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</row>
    <row r="1446">
      <c r="A1446" s="18" t="s">
        <v>2890</v>
      </c>
      <c r="B1446" s="19" t="s">
        <v>2891</v>
      </c>
      <c r="C1446" s="23"/>
      <c r="D1446" s="23"/>
      <c r="E1446" s="23"/>
      <c r="F1446" s="42"/>
      <c r="G1446" s="42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</row>
    <row r="1447">
      <c r="A1447" s="22" t="s">
        <v>2892</v>
      </c>
      <c r="B1447" s="14" t="s">
        <v>2893</v>
      </c>
      <c r="C1447" s="23"/>
      <c r="D1447" s="23"/>
      <c r="E1447" s="23"/>
      <c r="F1447" s="42"/>
      <c r="G1447" s="42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</row>
    <row r="1448">
      <c r="A1448" s="18" t="s">
        <v>2894</v>
      </c>
      <c r="B1448" s="19" t="s">
        <v>2895</v>
      </c>
      <c r="C1448" s="23"/>
      <c r="D1448" s="23"/>
      <c r="E1448" s="23"/>
      <c r="F1448" s="42"/>
      <c r="G1448" s="42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</row>
    <row r="1449">
      <c r="A1449" s="13" t="s">
        <v>2896</v>
      </c>
      <c r="B1449" s="26" t="s">
        <v>2897</v>
      </c>
      <c r="C1449" s="23"/>
      <c r="D1449" s="23"/>
      <c r="E1449" s="23"/>
      <c r="F1449" s="42"/>
      <c r="G1449" s="42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</row>
    <row r="1450">
      <c r="A1450" s="18" t="s">
        <v>2898</v>
      </c>
      <c r="B1450" s="19" t="s">
        <v>2899</v>
      </c>
      <c r="C1450" s="23"/>
      <c r="D1450" s="23"/>
      <c r="E1450" s="23"/>
      <c r="F1450" s="42"/>
      <c r="G1450" s="42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</row>
    <row r="1451">
      <c r="A1451" s="22" t="s">
        <v>2900</v>
      </c>
      <c r="B1451" s="14" t="s">
        <v>2901</v>
      </c>
      <c r="C1451" s="23"/>
      <c r="D1451" s="23"/>
      <c r="E1451" s="23"/>
      <c r="F1451" s="42"/>
      <c r="G1451" s="42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</row>
    <row r="1452">
      <c r="A1452" s="9" t="s">
        <v>2902</v>
      </c>
      <c r="B1452" s="10" t="s">
        <v>2903</v>
      </c>
      <c r="C1452" s="23"/>
      <c r="D1452" s="23"/>
      <c r="E1452" s="23"/>
      <c r="F1452" s="42"/>
      <c r="G1452" s="42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</row>
    <row r="1453">
      <c r="A1453" s="44" t="s">
        <v>2904</v>
      </c>
      <c r="B1453" s="45" t="s">
        <v>2905</v>
      </c>
      <c r="C1453" s="23"/>
      <c r="D1453" s="23"/>
      <c r="E1453" s="23"/>
      <c r="F1453" s="42"/>
      <c r="G1453" s="42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</row>
    <row r="1454">
      <c r="A1454" s="25" t="s">
        <v>2906</v>
      </c>
      <c r="B1454" s="19" t="s">
        <v>2907</v>
      </c>
      <c r="C1454" s="23"/>
      <c r="D1454" s="23"/>
      <c r="E1454" s="23"/>
      <c r="F1454" s="42"/>
      <c r="G1454" s="42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</row>
    <row r="1455">
      <c r="A1455" s="22" t="s">
        <v>2908</v>
      </c>
      <c r="B1455" s="14" t="s">
        <v>2909</v>
      </c>
      <c r="C1455" s="23"/>
      <c r="D1455" s="23"/>
      <c r="E1455" s="23"/>
      <c r="F1455" s="42"/>
      <c r="G1455" s="42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</row>
    <row r="1456">
      <c r="A1456" s="25" t="s">
        <v>2910</v>
      </c>
      <c r="B1456" s="19" t="s">
        <v>2911</v>
      </c>
      <c r="C1456" s="23"/>
      <c r="D1456" s="23"/>
      <c r="E1456" s="23"/>
      <c r="F1456" s="42"/>
      <c r="G1456" s="42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</row>
    <row r="1457">
      <c r="A1457" s="13" t="s">
        <v>2912</v>
      </c>
      <c r="B1457" s="14" t="s">
        <v>2913</v>
      </c>
      <c r="C1457" s="23"/>
      <c r="D1457" s="23"/>
      <c r="E1457" s="23"/>
      <c r="F1457" s="42"/>
      <c r="G1457" s="42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</row>
    <row r="1458">
      <c r="A1458" s="18" t="s">
        <v>2914</v>
      </c>
      <c r="B1458" s="19" t="s">
        <v>2915</v>
      </c>
      <c r="C1458" s="23"/>
      <c r="D1458" s="23"/>
      <c r="E1458" s="23"/>
      <c r="F1458" s="42"/>
      <c r="G1458" s="42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</row>
    <row r="1459">
      <c r="A1459" s="13" t="s">
        <v>2916</v>
      </c>
      <c r="B1459" s="14" t="s">
        <v>2917</v>
      </c>
      <c r="C1459" s="23"/>
      <c r="D1459" s="23"/>
      <c r="E1459" s="23"/>
      <c r="F1459" s="42"/>
      <c r="G1459" s="42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</row>
    <row r="1460">
      <c r="A1460" s="18" t="s">
        <v>2918</v>
      </c>
      <c r="B1460" s="19" t="s">
        <v>2919</v>
      </c>
      <c r="C1460" s="23"/>
      <c r="D1460" s="23"/>
      <c r="E1460" s="23"/>
      <c r="F1460" s="42"/>
      <c r="G1460" s="42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</row>
    <row r="1461">
      <c r="A1461" s="13" t="s">
        <v>2920</v>
      </c>
      <c r="B1461" s="14" t="s">
        <v>2921</v>
      </c>
      <c r="C1461" s="23"/>
      <c r="D1461" s="23"/>
      <c r="E1461" s="23"/>
      <c r="F1461" s="42"/>
      <c r="G1461" s="42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</row>
    <row r="1462">
      <c r="A1462" s="18" t="s">
        <v>2922</v>
      </c>
      <c r="B1462" s="33" t="s">
        <v>2923</v>
      </c>
      <c r="C1462" s="23"/>
      <c r="D1462" s="23"/>
      <c r="E1462" s="23"/>
      <c r="F1462" s="42"/>
      <c r="G1462" s="42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</row>
    <row r="1463">
      <c r="A1463" s="13" t="s">
        <v>2924</v>
      </c>
      <c r="B1463" s="14" t="s">
        <v>2925</v>
      </c>
      <c r="C1463" s="23"/>
      <c r="D1463" s="23"/>
      <c r="E1463" s="23"/>
      <c r="F1463" s="42"/>
      <c r="G1463" s="42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</row>
    <row r="1464">
      <c r="A1464" s="25" t="s">
        <v>2926</v>
      </c>
      <c r="B1464" s="33" t="s">
        <v>2927</v>
      </c>
      <c r="C1464" s="23"/>
      <c r="D1464" s="23"/>
      <c r="E1464" s="23"/>
      <c r="F1464" s="42"/>
      <c r="G1464" s="42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</row>
    <row r="1465">
      <c r="A1465" s="22" t="s">
        <v>2928</v>
      </c>
      <c r="B1465" s="14" t="s">
        <v>2929</v>
      </c>
      <c r="C1465" s="23"/>
      <c r="D1465" s="23"/>
      <c r="E1465" s="23"/>
      <c r="F1465" s="42"/>
      <c r="G1465" s="42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</row>
    <row r="1466">
      <c r="A1466" s="25" t="s">
        <v>2930</v>
      </c>
      <c r="B1466" s="19" t="s">
        <v>2931</v>
      </c>
      <c r="C1466" s="23"/>
      <c r="D1466" s="23"/>
      <c r="E1466" s="23"/>
      <c r="F1466" s="42"/>
      <c r="G1466" s="42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</row>
    <row r="1467">
      <c r="A1467" s="22" t="s">
        <v>2932</v>
      </c>
      <c r="B1467" s="14" t="s">
        <v>2933</v>
      </c>
      <c r="C1467" s="23"/>
      <c r="D1467" s="23"/>
      <c r="E1467" s="23"/>
      <c r="F1467" s="42"/>
      <c r="G1467" s="42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</row>
    <row r="1468">
      <c r="A1468" s="25" t="s">
        <v>2934</v>
      </c>
      <c r="B1468" s="19" t="s">
        <v>2935</v>
      </c>
      <c r="C1468" s="23"/>
      <c r="D1468" s="23"/>
      <c r="E1468" s="23"/>
      <c r="F1468" s="42"/>
      <c r="G1468" s="42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</row>
    <row r="1469">
      <c r="A1469" s="13" t="s">
        <v>2936</v>
      </c>
      <c r="B1469" s="14" t="s">
        <v>2937</v>
      </c>
      <c r="C1469" s="23"/>
      <c r="D1469" s="23"/>
      <c r="E1469" s="23"/>
      <c r="F1469" s="42"/>
      <c r="G1469" s="42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</row>
    <row r="1470">
      <c r="A1470" s="18" t="s">
        <v>2938</v>
      </c>
      <c r="B1470" s="19" t="s">
        <v>2939</v>
      </c>
      <c r="C1470" s="23"/>
      <c r="D1470" s="23"/>
      <c r="E1470" s="23"/>
      <c r="F1470" s="42"/>
      <c r="G1470" s="42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</row>
    <row r="1471">
      <c r="A1471" s="13" t="s">
        <v>2940</v>
      </c>
      <c r="B1471" s="14" t="s">
        <v>2941</v>
      </c>
      <c r="C1471" s="23"/>
      <c r="D1471" s="23"/>
      <c r="E1471" s="23"/>
      <c r="F1471" s="42"/>
      <c r="G1471" s="42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</row>
    <row r="1472">
      <c r="A1472" s="25" t="s">
        <v>2942</v>
      </c>
      <c r="B1472" s="19" t="s">
        <v>2943</v>
      </c>
      <c r="C1472" s="23"/>
      <c r="D1472" s="23"/>
      <c r="E1472" s="23"/>
      <c r="F1472" s="42"/>
      <c r="G1472" s="42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</row>
    <row r="1473">
      <c r="A1473" s="13" t="s">
        <v>2944</v>
      </c>
      <c r="B1473" s="14" t="s">
        <v>2945</v>
      </c>
      <c r="C1473" s="23"/>
      <c r="D1473" s="23"/>
      <c r="E1473" s="23"/>
      <c r="F1473" s="42"/>
      <c r="G1473" s="42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</row>
    <row r="1474">
      <c r="A1474" s="18" t="s">
        <v>2946</v>
      </c>
      <c r="B1474" s="19" t="s">
        <v>2947</v>
      </c>
      <c r="C1474" s="23"/>
      <c r="D1474" s="23"/>
      <c r="E1474" s="23"/>
      <c r="F1474" s="42"/>
      <c r="G1474" s="42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</row>
    <row r="1475">
      <c r="A1475" s="22" t="s">
        <v>2948</v>
      </c>
      <c r="B1475" s="14" t="s">
        <v>2949</v>
      </c>
      <c r="C1475" s="23"/>
      <c r="D1475" s="23"/>
      <c r="E1475" s="23"/>
      <c r="F1475" s="42"/>
      <c r="G1475" s="42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</row>
    <row r="1476">
      <c r="A1476" s="18" t="s">
        <v>2950</v>
      </c>
      <c r="B1476" s="19" t="s">
        <v>2951</v>
      </c>
      <c r="C1476" s="23"/>
      <c r="D1476" s="23"/>
      <c r="E1476" s="23"/>
      <c r="F1476" s="42"/>
      <c r="G1476" s="42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</row>
    <row r="1477">
      <c r="A1477" s="22" t="s">
        <v>2952</v>
      </c>
      <c r="B1477" s="14" t="s">
        <v>2953</v>
      </c>
      <c r="C1477" s="23"/>
      <c r="D1477" s="23"/>
      <c r="E1477" s="23"/>
      <c r="F1477" s="42"/>
      <c r="G1477" s="42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</row>
    <row r="1478">
      <c r="A1478" s="25" t="s">
        <v>2954</v>
      </c>
      <c r="B1478" s="33" t="s">
        <v>2955</v>
      </c>
      <c r="C1478" s="23"/>
      <c r="D1478" s="23"/>
      <c r="E1478" s="23"/>
      <c r="F1478" s="42"/>
      <c r="G1478" s="42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</row>
    <row r="1479">
      <c r="A1479" s="13" t="s">
        <v>2956</v>
      </c>
      <c r="B1479" s="58" t="s">
        <v>2957</v>
      </c>
      <c r="C1479" s="23"/>
      <c r="D1479" s="23"/>
      <c r="E1479" s="23"/>
      <c r="F1479" s="42"/>
      <c r="G1479" s="42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</row>
    <row r="1480">
      <c r="A1480" s="18" t="s">
        <v>2958</v>
      </c>
      <c r="B1480" s="19" t="s">
        <v>2959</v>
      </c>
      <c r="C1480" s="23"/>
      <c r="D1480" s="23"/>
      <c r="E1480" s="23"/>
      <c r="F1480" s="42"/>
      <c r="G1480" s="42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</row>
    <row r="1481">
      <c r="A1481" s="13" t="s">
        <v>2960</v>
      </c>
      <c r="B1481" s="14" t="s">
        <v>2961</v>
      </c>
      <c r="C1481" s="23"/>
      <c r="D1481" s="23"/>
      <c r="E1481" s="23"/>
      <c r="F1481" s="42"/>
      <c r="G1481" s="42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</row>
    <row r="1482">
      <c r="A1482" s="18" t="s">
        <v>2962</v>
      </c>
      <c r="B1482" s="19" t="s">
        <v>2963</v>
      </c>
      <c r="C1482" s="23"/>
      <c r="D1482" s="23"/>
      <c r="E1482" s="23"/>
      <c r="F1482" s="42"/>
      <c r="G1482" s="42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</row>
    <row r="1483">
      <c r="A1483" s="13" t="s">
        <v>2964</v>
      </c>
      <c r="B1483" s="14" t="s">
        <v>2965</v>
      </c>
      <c r="C1483" s="23"/>
      <c r="D1483" s="23"/>
      <c r="E1483" s="23"/>
      <c r="F1483" s="42"/>
      <c r="G1483" s="42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</row>
    <row r="1484">
      <c r="A1484" s="9" t="s">
        <v>2966</v>
      </c>
      <c r="B1484" s="10" t="s">
        <v>2967</v>
      </c>
      <c r="C1484" s="23"/>
      <c r="D1484" s="23"/>
      <c r="E1484" s="23"/>
      <c r="F1484" s="42"/>
      <c r="G1484" s="42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</row>
    <row r="1485">
      <c r="A1485" s="22" t="s">
        <v>2968</v>
      </c>
      <c r="B1485" s="14" t="s">
        <v>2969</v>
      </c>
      <c r="C1485" s="23"/>
      <c r="D1485" s="23"/>
      <c r="E1485" s="23"/>
      <c r="F1485" s="42"/>
      <c r="G1485" s="42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</row>
    <row r="1486">
      <c r="A1486" s="18" t="s">
        <v>2970</v>
      </c>
      <c r="B1486" s="19" t="s">
        <v>2971</v>
      </c>
      <c r="C1486" s="23"/>
      <c r="D1486" s="23"/>
      <c r="E1486" s="23"/>
      <c r="F1486" s="42"/>
      <c r="G1486" s="42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</row>
    <row r="1487">
      <c r="A1487" s="13" t="s">
        <v>2972</v>
      </c>
      <c r="B1487" s="26" t="s">
        <v>2973</v>
      </c>
      <c r="C1487" s="23"/>
      <c r="D1487" s="23"/>
      <c r="E1487" s="23"/>
      <c r="F1487" s="42"/>
      <c r="G1487" s="42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</row>
    <row r="1488">
      <c r="A1488" s="25" t="s">
        <v>2974</v>
      </c>
      <c r="B1488" s="19" t="s">
        <v>2975</v>
      </c>
      <c r="C1488" s="23"/>
      <c r="D1488" s="23"/>
      <c r="E1488" s="23"/>
      <c r="F1488" s="42"/>
      <c r="G1488" s="42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</row>
    <row r="1489">
      <c r="A1489" s="13" t="s">
        <v>2976</v>
      </c>
      <c r="B1489" s="14" t="s">
        <v>2977</v>
      </c>
      <c r="C1489" s="23"/>
      <c r="D1489" s="23"/>
      <c r="E1489" s="23"/>
      <c r="F1489" s="42"/>
      <c r="G1489" s="42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</row>
    <row r="1490">
      <c r="A1490" s="18" t="s">
        <v>2978</v>
      </c>
      <c r="B1490" s="19" t="s">
        <v>2979</v>
      </c>
      <c r="C1490" s="23"/>
      <c r="D1490" s="23"/>
      <c r="E1490" s="23"/>
      <c r="F1490" s="42"/>
      <c r="G1490" s="42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</row>
    <row r="1491">
      <c r="A1491" s="13" t="s">
        <v>2980</v>
      </c>
      <c r="B1491" s="14" t="s">
        <v>2981</v>
      </c>
      <c r="C1491" s="23"/>
      <c r="D1491" s="23"/>
      <c r="E1491" s="23"/>
      <c r="F1491" s="42"/>
      <c r="G1491" s="42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</row>
    <row r="1492">
      <c r="A1492" s="25" t="s">
        <v>2982</v>
      </c>
      <c r="B1492" s="19" t="s">
        <v>2983</v>
      </c>
      <c r="C1492" s="23"/>
      <c r="D1492" s="23"/>
      <c r="E1492" s="23"/>
      <c r="F1492" s="42"/>
      <c r="G1492" s="42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</row>
    <row r="1493">
      <c r="A1493" s="22" t="s">
        <v>2984</v>
      </c>
      <c r="B1493" s="14" t="s">
        <v>2985</v>
      </c>
      <c r="C1493" s="23"/>
      <c r="D1493" s="23"/>
      <c r="E1493" s="23"/>
      <c r="F1493" s="42"/>
      <c r="G1493" s="42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</row>
    <row r="1494">
      <c r="A1494" s="18" t="s">
        <v>2986</v>
      </c>
      <c r="B1494" s="19" t="s">
        <v>2987</v>
      </c>
      <c r="C1494" s="23"/>
      <c r="D1494" s="23"/>
      <c r="E1494" s="23"/>
      <c r="F1494" s="42"/>
      <c r="G1494" s="42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</row>
    <row r="1495">
      <c r="A1495" s="13" t="s">
        <v>2988</v>
      </c>
      <c r="B1495" s="14" t="s">
        <v>2989</v>
      </c>
      <c r="C1495" s="23"/>
      <c r="D1495" s="23"/>
      <c r="E1495" s="23"/>
      <c r="F1495" s="42"/>
      <c r="G1495" s="42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</row>
    <row r="1496">
      <c r="A1496" s="18" t="s">
        <v>2990</v>
      </c>
      <c r="B1496" s="33" t="s">
        <v>2991</v>
      </c>
      <c r="C1496" s="23"/>
      <c r="D1496" s="23"/>
      <c r="E1496" s="23"/>
      <c r="F1496" s="42"/>
      <c r="G1496" s="42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</row>
    <row r="1497">
      <c r="A1497" s="13" t="s">
        <v>2992</v>
      </c>
      <c r="B1497" s="14" t="s">
        <v>2993</v>
      </c>
      <c r="C1497" s="23"/>
      <c r="D1497" s="23"/>
      <c r="E1497" s="23"/>
      <c r="F1497" s="42"/>
      <c r="G1497" s="42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</row>
    <row r="1498">
      <c r="A1498" s="25" t="s">
        <v>2994</v>
      </c>
      <c r="B1498" s="33" t="s">
        <v>2995</v>
      </c>
      <c r="C1498" s="23"/>
      <c r="D1498" s="23"/>
      <c r="E1498" s="23"/>
      <c r="F1498" s="42"/>
      <c r="G1498" s="42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</row>
    <row r="1499">
      <c r="A1499" s="13" t="s">
        <v>2996</v>
      </c>
      <c r="B1499" s="14" t="s">
        <v>2997</v>
      </c>
      <c r="C1499" s="23"/>
      <c r="D1499" s="23"/>
      <c r="E1499" s="23"/>
      <c r="F1499" s="42"/>
      <c r="G1499" s="42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</row>
    <row r="1500">
      <c r="A1500" s="25" t="s">
        <v>2998</v>
      </c>
      <c r="B1500" s="19" t="s">
        <v>2999</v>
      </c>
      <c r="C1500" s="23"/>
      <c r="D1500" s="23"/>
      <c r="E1500" s="23"/>
      <c r="F1500" s="42"/>
      <c r="G1500" s="42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</row>
    <row r="1501">
      <c r="A1501" s="13" t="s">
        <v>3000</v>
      </c>
      <c r="B1501" s="14" t="s">
        <v>3001</v>
      </c>
      <c r="C1501" s="23"/>
      <c r="D1501" s="23"/>
      <c r="E1501" s="23"/>
      <c r="F1501" s="42"/>
      <c r="G1501" s="42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</row>
    <row r="1502">
      <c r="A1502" s="25" t="s">
        <v>3002</v>
      </c>
      <c r="B1502" s="19" t="s">
        <v>3003</v>
      </c>
      <c r="C1502" s="23"/>
      <c r="D1502" s="23"/>
      <c r="E1502" s="23"/>
      <c r="F1502" s="42"/>
      <c r="G1502" s="42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</row>
    <row r="1503">
      <c r="A1503" s="13" t="s">
        <v>3004</v>
      </c>
      <c r="B1503" s="14" t="s">
        <v>3005</v>
      </c>
      <c r="C1503" s="23"/>
      <c r="D1503" s="23"/>
      <c r="E1503" s="23"/>
      <c r="F1503" s="42"/>
      <c r="G1503" s="42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</row>
    <row r="1504">
      <c r="A1504" s="18" t="s">
        <v>3006</v>
      </c>
      <c r="B1504" s="19" t="s">
        <v>3007</v>
      </c>
      <c r="C1504" s="23"/>
      <c r="D1504" s="23"/>
      <c r="E1504" s="23"/>
      <c r="F1504" s="42"/>
      <c r="G1504" s="42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</row>
    <row r="1505">
      <c r="A1505" s="13" t="s">
        <v>3008</v>
      </c>
      <c r="B1505" s="14" t="s">
        <v>3009</v>
      </c>
      <c r="C1505" s="23"/>
      <c r="D1505" s="23"/>
      <c r="E1505" s="23"/>
      <c r="F1505" s="42"/>
      <c r="G1505" s="42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</row>
    <row r="1506">
      <c r="A1506" s="25" t="s">
        <v>3010</v>
      </c>
      <c r="B1506" s="19" t="s">
        <v>3011</v>
      </c>
      <c r="C1506" s="23"/>
      <c r="D1506" s="23"/>
      <c r="E1506" s="23"/>
      <c r="F1506" s="42"/>
      <c r="G1506" s="42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</row>
    <row r="1507">
      <c r="A1507" s="22" t="s">
        <v>3012</v>
      </c>
      <c r="B1507" s="14" t="s">
        <v>3013</v>
      </c>
      <c r="C1507" s="23"/>
      <c r="D1507" s="23"/>
      <c r="E1507" s="23"/>
      <c r="F1507" s="42"/>
      <c r="G1507" s="42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</row>
    <row r="1508">
      <c r="A1508" s="25" t="s">
        <v>3014</v>
      </c>
      <c r="B1508" s="19" t="s">
        <v>3015</v>
      </c>
      <c r="C1508" s="23"/>
      <c r="D1508" s="23"/>
      <c r="E1508" s="23"/>
      <c r="F1508" s="42"/>
      <c r="G1508" s="42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</row>
    <row r="1509">
      <c r="A1509" s="13" t="s">
        <v>3016</v>
      </c>
      <c r="B1509" s="14" t="s">
        <v>3017</v>
      </c>
      <c r="C1509" s="23"/>
      <c r="D1509" s="23"/>
      <c r="E1509" s="23"/>
      <c r="F1509" s="42"/>
      <c r="G1509" s="42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</row>
    <row r="1510">
      <c r="A1510" s="18" t="s">
        <v>3018</v>
      </c>
      <c r="B1510" s="19" t="s">
        <v>3019</v>
      </c>
      <c r="C1510" s="23"/>
      <c r="D1510" s="23"/>
      <c r="E1510" s="23"/>
      <c r="F1510" s="42"/>
      <c r="G1510" s="42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</row>
    <row r="1511">
      <c r="A1511" s="22" t="s">
        <v>3020</v>
      </c>
      <c r="B1511" s="14" t="s">
        <v>3021</v>
      </c>
      <c r="C1511" s="23"/>
      <c r="D1511" s="23"/>
      <c r="E1511" s="23"/>
      <c r="F1511" s="42"/>
      <c r="G1511" s="42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</row>
    <row r="1512">
      <c r="A1512" s="25" t="s">
        <v>3022</v>
      </c>
      <c r="B1512" s="19" t="s">
        <v>3023</v>
      </c>
      <c r="C1512" s="23"/>
      <c r="D1512" s="23"/>
      <c r="E1512" s="23"/>
      <c r="F1512" s="42"/>
      <c r="G1512" s="42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</row>
    <row r="1513">
      <c r="A1513" s="44" t="s">
        <v>3024</v>
      </c>
      <c r="B1513" s="45" t="s">
        <v>3025</v>
      </c>
      <c r="C1513" s="23"/>
      <c r="D1513" s="23"/>
      <c r="E1513" s="23"/>
      <c r="F1513" s="42"/>
      <c r="G1513" s="42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</row>
    <row r="1514">
      <c r="A1514" s="9" t="s">
        <v>3026</v>
      </c>
      <c r="B1514" s="19" t="s">
        <v>3027</v>
      </c>
      <c r="C1514" s="23"/>
      <c r="D1514" s="23"/>
      <c r="E1514" s="23"/>
      <c r="F1514" s="42"/>
      <c r="G1514" s="42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</row>
    <row r="1515">
      <c r="A1515" s="13" t="s">
        <v>3028</v>
      </c>
      <c r="B1515" s="26" t="s">
        <v>3029</v>
      </c>
      <c r="C1515" s="23"/>
      <c r="D1515" s="23"/>
      <c r="E1515" s="23"/>
      <c r="F1515" s="42"/>
      <c r="G1515" s="42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</row>
    <row r="1516">
      <c r="A1516" s="18" t="s">
        <v>3030</v>
      </c>
      <c r="B1516" s="19" t="s">
        <v>3031</v>
      </c>
      <c r="C1516" s="23"/>
      <c r="D1516" s="23"/>
      <c r="E1516" s="23"/>
      <c r="F1516" s="42"/>
      <c r="G1516" s="42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</row>
    <row r="1517">
      <c r="A1517" s="22" t="s">
        <v>3032</v>
      </c>
      <c r="B1517" s="14" t="s">
        <v>3033</v>
      </c>
      <c r="C1517" s="23"/>
      <c r="D1517" s="23"/>
      <c r="E1517" s="23"/>
      <c r="F1517" s="42"/>
      <c r="G1517" s="42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</row>
    <row r="1518">
      <c r="A1518" s="18" t="s">
        <v>3034</v>
      </c>
      <c r="B1518" s="19" t="s">
        <v>3035</v>
      </c>
      <c r="C1518" s="23"/>
      <c r="D1518" s="23"/>
      <c r="E1518" s="23"/>
      <c r="F1518" s="42"/>
      <c r="G1518" s="42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</row>
    <row r="1519">
      <c r="A1519" s="13" t="s">
        <v>3036</v>
      </c>
      <c r="B1519" s="14" t="s">
        <v>3037</v>
      </c>
      <c r="C1519" s="23"/>
      <c r="D1519" s="23"/>
      <c r="E1519" s="23"/>
      <c r="F1519" s="42"/>
      <c r="G1519" s="42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</row>
    <row r="1520">
      <c r="A1520" s="25" t="s">
        <v>3038</v>
      </c>
      <c r="B1520" s="19" t="s">
        <v>3039</v>
      </c>
      <c r="C1520" s="23"/>
      <c r="D1520" s="23"/>
      <c r="E1520" s="23"/>
      <c r="F1520" s="42"/>
      <c r="G1520" s="42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</row>
    <row r="1521">
      <c r="A1521" s="22" t="s">
        <v>3040</v>
      </c>
      <c r="B1521" s="14" t="s">
        <v>3041</v>
      </c>
      <c r="C1521" s="23"/>
      <c r="D1521" s="23"/>
      <c r="E1521" s="23"/>
      <c r="F1521" s="42"/>
      <c r="G1521" s="42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</row>
    <row r="1522">
      <c r="A1522" s="25" t="s">
        <v>3042</v>
      </c>
      <c r="B1522" s="19" t="s">
        <v>3043</v>
      </c>
      <c r="C1522" s="23"/>
      <c r="D1522" s="23"/>
      <c r="E1522" s="23"/>
      <c r="F1522" s="42"/>
      <c r="G1522" s="42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</row>
    <row r="1523">
      <c r="A1523" s="13" t="s">
        <v>3044</v>
      </c>
      <c r="B1523" s="14" t="s">
        <v>3045</v>
      </c>
      <c r="C1523" s="23"/>
      <c r="D1523" s="23"/>
      <c r="E1523" s="23"/>
      <c r="F1523" s="42"/>
      <c r="G1523" s="42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</row>
    <row r="1524">
      <c r="A1524" s="18" t="s">
        <v>3046</v>
      </c>
      <c r="B1524" s="19" t="s">
        <v>3047</v>
      </c>
      <c r="C1524" s="23"/>
      <c r="D1524" s="23"/>
      <c r="E1524" s="23"/>
      <c r="F1524" s="42"/>
      <c r="G1524" s="42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</row>
    <row r="1525">
      <c r="A1525" s="13" t="s">
        <v>3048</v>
      </c>
      <c r="B1525" s="14" t="s">
        <v>3049</v>
      </c>
      <c r="C1525" s="23"/>
      <c r="D1525" s="23"/>
      <c r="E1525" s="23"/>
      <c r="F1525" s="42"/>
      <c r="G1525" s="42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</row>
    <row r="1526">
      <c r="A1526" s="25" t="s">
        <v>3050</v>
      </c>
      <c r="B1526" s="19" t="s">
        <v>3051</v>
      </c>
      <c r="C1526" s="23"/>
      <c r="D1526" s="23"/>
      <c r="E1526" s="23"/>
      <c r="F1526" s="42"/>
      <c r="G1526" s="42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</row>
    <row r="1527">
      <c r="A1527" s="13" t="s">
        <v>3052</v>
      </c>
      <c r="B1527" s="14" t="s">
        <v>3053</v>
      </c>
      <c r="C1527" s="23"/>
      <c r="D1527" s="23"/>
      <c r="E1527" s="23"/>
      <c r="F1527" s="42"/>
      <c r="G1527" s="42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</row>
    <row r="1528">
      <c r="A1528" s="18" t="s">
        <v>3054</v>
      </c>
      <c r="B1528" s="19" t="s">
        <v>3055</v>
      </c>
      <c r="C1528" s="23"/>
      <c r="D1528" s="23"/>
      <c r="E1528" s="23"/>
      <c r="F1528" s="42"/>
      <c r="G1528" s="42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</row>
    <row r="1529">
      <c r="A1529" s="13" t="s">
        <v>3056</v>
      </c>
      <c r="B1529" s="14" t="s">
        <v>3057</v>
      </c>
      <c r="C1529" s="23"/>
      <c r="D1529" s="23"/>
      <c r="E1529" s="23"/>
      <c r="F1529" s="42"/>
      <c r="G1529" s="42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</row>
    <row r="1530">
      <c r="A1530" s="25" t="s">
        <v>3058</v>
      </c>
      <c r="B1530" s="19" t="s">
        <v>3059</v>
      </c>
      <c r="C1530" s="23"/>
      <c r="D1530" s="23"/>
      <c r="E1530" s="23"/>
      <c r="F1530" s="42"/>
      <c r="G1530" s="42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</row>
    <row r="1531">
      <c r="A1531" s="13" t="s">
        <v>3060</v>
      </c>
      <c r="B1531" s="14" t="s">
        <v>3061</v>
      </c>
      <c r="C1531" s="23"/>
      <c r="D1531" s="23"/>
      <c r="E1531" s="23"/>
      <c r="F1531" s="42"/>
      <c r="G1531" s="42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</row>
    <row r="1532">
      <c r="A1532" s="25" t="s">
        <v>3062</v>
      </c>
      <c r="B1532" s="19" t="s">
        <v>3063</v>
      </c>
      <c r="C1532" s="23"/>
      <c r="D1532" s="23"/>
      <c r="E1532" s="23"/>
      <c r="F1532" s="42"/>
      <c r="G1532" s="42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</row>
    <row r="1533">
      <c r="A1533" s="22" t="s">
        <v>3064</v>
      </c>
      <c r="B1533" s="14" t="s">
        <v>3065</v>
      </c>
      <c r="C1533" s="23"/>
      <c r="D1533" s="23"/>
      <c r="E1533" s="23"/>
      <c r="F1533" s="42"/>
      <c r="G1533" s="42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</row>
    <row r="1534">
      <c r="A1534" s="9" t="s">
        <v>3066</v>
      </c>
      <c r="B1534" s="10" t="s">
        <v>3067</v>
      </c>
      <c r="C1534" s="23"/>
      <c r="D1534" s="23"/>
      <c r="E1534" s="23"/>
      <c r="F1534" s="42"/>
      <c r="G1534" s="42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</row>
    <row r="1535">
      <c r="A1535" s="44" t="s">
        <v>3068</v>
      </c>
      <c r="B1535" s="45" t="s">
        <v>3069</v>
      </c>
      <c r="C1535" s="23"/>
      <c r="D1535" s="23"/>
      <c r="E1535" s="23"/>
      <c r="F1535" s="42"/>
      <c r="G1535" s="42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</row>
    <row r="1536">
      <c r="A1536" s="18" t="s">
        <v>3070</v>
      </c>
      <c r="B1536" s="19" t="s">
        <v>3071</v>
      </c>
      <c r="C1536" s="23"/>
      <c r="D1536" s="23"/>
      <c r="E1536" s="23"/>
      <c r="F1536" s="42"/>
      <c r="G1536" s="42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</row>
    <row r="1537">
      <c r="A1537" s="22" t="s">
        <v>3072</v>
      </c>
      <c r="B1537" s="14" t="s">
        <v>3073</v>
      </c>
      <c r="C1537" s="23"/>
      <c r="D1537" s="23"/>
      <c r="E1537" s="23"/>
      <c r="F1537" s="42"/>
      <c r="G1537" s="42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</row>
    <row r="1538">
      <c r="A1538" s="25" t="s">
        <v>3074</v>
      </c>
      <c r="B1538" s="19" t="s">
        <v>3075</v>
      </c>
      <c r="C1538" s="23"/>
      <c r="D1538" s="23"/>
      <c r="E1538" s="23"/>
      <c r="F1538" s="42"/>
      <c r="G1538" s="42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</row>
    <row r="1539">
      <c r="A1539" s="13" t="s">
        <v>3076</v>
      </c>
      <c r="B1539" s="14" t="s">
        <v>3077</v>
      </c>
      <c r="C1539" s="23"/>
      <c r="D1539" s="23"/>
      <c r="E1539" s="23"/>
      <c r="F1539" s="42"/>
      <c r="G1539" s="42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</row>
    <row r="1540">
      <c r="A1540" s="25" t="s">
        <v>3078</v>
      </c>
      <c r="B1540" s="19" t="s">
        <v>3079</v>
      </c>
      <c r="C1540" s="23"/>
      <c r="D1540" s="23"/>
      <c r="E1540" s="23"/>
      <c r="F1540" s="42"/>
      <c r="G1540" s="42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</row>
    <row r="1541">
      <c r="A1541" s="22" t="s">
        <v>3080</v>
      </c>
      <c r="B1541" s="14" t="s">
        <v>3081</v>
      </c>
      <c r="C1541" s="23"/>
      <c r="D1541" s="23"/>
      <c r="E1541" s="23"/>
      <c r="F1541" s="42"/>
      <c r="G1541" s="42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</row>
    <row r="1542">
      <c r="A1542" s="25" t="s">
        <v>3082</v>
      </c>
      <c r="B1542" s="19" t="s">
        <v>3083</v>
      </c>
      <c r="C1542" s="23"/>
      <c r="D1542" s="23"/>
      <c r="E1542" s="23"/>
      <c r="F1542" s="42"/>
      <c r="G1542" s="42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</row>
    <row r="1543">
      <c r="A1543" s="22" t="s">
        <v>3084</v>
      </c>
      <c r="B1543" s="14" t="s">
        <v>3085</v>
      </c>
      <c r="C1543" s="23"/>
      <c r="D1543" s="23"/>
      <c r="E1543" s="23"/>
      <c r="F1543" s="42"/>
      <c r="G1543" s="42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</row>
    <row r="1544">
      <c r="A1544" s="18" t="s">
        <v>3086</v>
      </c>
      <c r="B1544" s="19" t="s">
        <v>3087</v>
      </c>
      <c r="C1544" s="23"/>
      <c r="D1544" s="23"/>
      <c r="E1544" s="23"/>
      <c r="F1544" s="42"/>
      <c r="G1544" s="42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</row>
    <row r="1545">
      <c r="A1545" s="22" t="s">
        <v>3088</v>
      </c>
      <c r="B1545" s="14" t="s">
        <v>3089</v>
      </c>
      <c r="C1545" s="23"/>
      <c r="D1545" s="23"/>
      <c r="E1545" s="23"/>
      <c r="F1545" s="42"/>
      <c r="G1545" s="42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</row>
    <row r="1546">
      <c r="A1546" s="18" t="s">
        <v>3090</v>
      </c>
      <c r="B1546" s="19" t="s">
        <v>3091</v>
      </c>
      <c r="C1546" s="23"/>
      <c r="D1546" s="23"/>
      <c r="E1546" s="23"/>
      <c r="F1546" s="42"/>
      <c r="G1546" s="42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</row>
    <row r="1547">
      <c r="A1547" s="13" t="s">
        <v>3092</v>
      </c>
      <c r="B1547" s="14" t="s">
        <v>3093</v>
      </c>
      <c r="C1547" s="23"/>
      <c r="D1547" s="23"/>
      <c r="E1547" s="23"/>
      <c r="F1547" s="42"/>
      <c r="G1547" s="42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</row>
    <row r="1548">
      <c r="A1548" s="18" t="s">
        <v>3094</v>
      </c>
      <c r="B1548" s="19" t="s">
        <v>3095</v>
      </c>
      <c r="C1548" s="23"/>
      <c r="D1548" s="23"/>
      <c r="E1548" s="23"/>
      <c r="F1548" s="42"/>
      <c r="G1548" s="42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</row>
    <row r="1549">
      <c r="A1549" s="44" t="s">
        <v>3096</v>
      </c>
      <c r="B1549" s="45" t="s">
        <v>3097</v>
      </c>
      <c r="C1549" s="23"/>
      <c r="D1549" s="23"/>
      <c r="E1549" s="23"/>
      <c r="F1549" s="42"/>
      <c r="G1549" s="42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</row>
    <row r="1550">
      <c r="A1550" s="25" t="s">
        <v>3098</v>
      </c>
      <c r="B1550" s="19" t="s">
        <v>3099</v>
      </c>
      <c r="C1550" s="23"/>
      <c r="D1550" s="23"/>
      <c r="E1550" s="23"/>
      <c r="F1550" s="42"/>
      <c r="G1550" s="42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</row>
    <row r="1551">
      <c r="A1551" s="13" t="s">
        <v>3100</v>
      </c>
      <c r="B1551" s="14" t="s">
        <v>3101</v>
      </c>
      <c r="C1551" s="23"/>
      <c r="D1551" s="23"/>
      <c r="E1551" s="23"/>
      <c r="F1551" s="42"/>
      <c r="G1551" s="42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</row>
    <row r="1552">
      <c r="A1552" s="18" t="s">
        <v>3102</v>
      </c>
      <c r="B1552" s="19" t="s">
        <v>3103</v>
      </c>
      <c r="C1552" s="23"/>
      <c r="D1552" s="23"/>
      <c r="E1552" s="23"/>
      <c r="F1552" s="42"/>
      <c r="G1552" s="42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</row>
    <row r="1553">
      <c r="A1553" s="13" t="s">
        <v>3104</v>
      </c>
      <c r="B1553" s="14" t="s">
        <v>3105</v>
      </c>
      <c r="C1553" s="23"/>
      <c r="D1553" s="23"/>
      <c r="E1553" s="23"/>
      <c r="F1553" s="42"/>
      <c r="G1553" s="42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</row>
    <row r="1554">
      <c r="A1554" s="18" t="s">
        <v>3106</v>
      </c>
      <c r="B1554" s="33" t="s">
        <v>3107</v>
      </c>
      <c r="C1554" s="23"/>
      <c r="D1554" s="23"/>
      <c r="E1554" s="23"/>
      <c r="F1554" s="42"/>
      <c r="G1554" s="42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</row>
    <row r="1555">
      <c r="A1555" s="22" t="s">
        <v>3108</v>
      </c>
      <c r="B1555" s="14" t="s">
        <v>3109</v>
      </c>
      <c r="C1555" s="23"/>
      <c r="D1555" s="23"/>
      <c r="E1555" s="23"/>
      <c r="F1555" s="42"/>
      <c r="G1555" s="42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</row>
    <row r="1556">
      <c r="A1556" s="18" t="s">
        <v>3110</v>
      </c>
      <c r="B1556" s="19" t="s">
        <v>3111</v>
      </c>
      <c r="C1556" s="23"/>
      <c r="D1556" s="23"/>
      <c r="E1556" s="23"/>
      <c r="F1556" s="42"/>
      <c r="G1556" s="42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</row>
    <row r="1557">
      <c r="A1557" s="22" t="s">
        <v>3112</v>
      </c>
      <c r="B1557" s="14" t="s">
        <v>3113</v>
      </c>
      <c r="C1557" s="23"/>
      <c r="D1557" s="23"/>
      <c r="E1557" s="23"/>
      <c r="F1557" s="42"/>
      <c r="G1557" s="42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</row>
    <row r="1558">
      <c r="A1558" s="18" t="s">
        <v>3114</v>
      </c>
      <c r="B1558" s="19" t="s">
        <v>3115</v>
      </c>
      <c r="C1558" s="23"/>
      <c r="D1558" s="23"/>
      <c r="E1558" s="23"/>
      <c r="F1558" s="42"/>
      <c r="G1558" s="42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</row>
    <row r="1559">
      <c r="A1559" s="13" t="s">
        <v>3116</v>
      </c>
      <c r="B1559" s="26" t="s">
        <v>3117</v>
      </c>
      <c r="C1559" s="23"/>
      <c r="D1559" s="23"/>
      <c r="E1559" s="23"/>
      <c r="F1559" s="42"/>
      <c r="G1559" s="42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</row>
    <row r="1560">
      <c r="A1560" s="25" t="s">
        <v>3118</v>
      </c>
      <c r="B1560" s="19" t="s">
        <v>3119</v>
      </c>
      <c r="C1560" s="23"/>
      <c r="D1560" s="23"/>
      <c r="E1560" s="23"/>
      <c r="F1560" s="42"/>
      <c r="G1560" s="42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</row>
    <row r="1561">
      <c r="A1561" s="22" t="s">
        <v>3120</v>
      </c>
      <c r="B1561" s="14" t="s">
        <v>3121</v>
      </c>
      <c r="C1561" s="23"/>
      <c r="D1561" s="23"/>
      <c r="E1561" s="23"/>
      <c r="F1561" s="42"/>
      <c r="G1561" s="42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</row>
    <row r="1562">
      <c r="A1562" s="25" t="s">
        <v>3122</v>
      </c>
      <c r="B1562" s="19" t="s">
        <v>3123</v>
      </c>
      <c r="C1562" s="23"/>
      <c r="D1562" s="23"/>
      <c r="E1562" s="23"/>
      <c r="F1562" s="42"/>
      <c r="G1562" s="42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</row>
    <row r="1563">
      <c r="A1563" s="13" t="s">
        <v>3124</v>
      </c>
      <c r="B1563" s="26" t="s">
        <v>3125</v>
      </c>
      <c r="C1563" s="23"/>
      <c r="D1563" s="23"/>
      <c r="E1563" s="23"/>
      <c r="F1563" s="42"/>
      <c r="G1563" s="42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</row>
    <row r="1564">
      <c r="A1564" s="18" t="s">
        <v>3126</v>
      </c>
      <c r="B1564" s="19" t="s">
        <v>3127</v>
      </c>
      <c r="C1564" s="23"/>
      <c r="D1564" s="23"/>
      <c r="E1564" s="23"/>
      <c r="F1564" s="42"/>
      <c r="G1564" s="42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</row>
    <row r="1565">
      <c r="A1565" s="13" t="s">
        <v>3128</v>
      </c>
      <c r="B1565" s="14" t="s">
        <v>3129</v>
      </c>
      <c r="C1565" s="23"/>
      <c r="D1565" s="23"/>
      <c r="E1565" s="23"/>
      <c r="F1565" s="42"/>
      <c r="G1565" s="42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</row>
    <row r="1566">
      <c r="A1566" s="18" t="s">
        <v>3130</v>
      </c>
      <c r="B1566" s="33" t="s">
        <v>3131</v>
      </c>
      <c r="C1566" s="23"/>
      <c r="D1566" s="23"/>
      <c r="E1566" s="23"/>
      <c r="F1566" s="42"/>
      <c r="G1566" s="42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</row>
    <row r="1567">
      <c r="A1567" s="13" t="s">
        <v>3132</v>
      </c>
      <c r="B1567" s="14" t="s">
        <v>3133</v>
      </c>
      <c r="C1567" s="23"/>
      <c r="D1567" s="23"/>
      <c r="E1567" s="23"/>
      <c r="F1567" s="42"/>
      <c r="G1567" s="42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</row>
    <row r="1568">
      <c r="A1568" s="18" t="s">
        <v>3134</v>
      </c>
      <c r="B1568" s="19" t="s">
        <v>3135</v>
      </c>
      <c r="C1568" s="23"/>
      <c r="D1568" s="23"/>
      <c r="E1568" s="23"/>
      <c r="F1568" s="42"/>
      <c r="G1568" s="42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</row>
    <row r="1569">
      <c r="A1569" s="22" t="s">
        <v>3136</v>
      </c>
      <c r="B1569" s="14" t="s">
        <v>3137</v>
      </c>
      <c r="C1569" s="23"/>
      <c r="D1569" s="23"/>
      <c r="E1569" s="23"/>
      <c r="F1569" s="42"/>
      <c r="G1569" s="42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</row>
    <row r="1570">
      <c r="A1570" s="18" t="s">
        <v>3138</v>
      </c>
      <c r="B1570" s="19" t="s">
        <v>3139</v>
      </c>
      <c r="C1570" s="23"/>
      <c r="D1570" s="23"/>
      <c r="E1570" s="23"/>
      <c r="F1570" s="42"/>
      <c r="G1570" s="42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</row>
    <row r="1571">
      <c r="A1571" s="22" t="s">
        <v>3140</v>
      </c>
      <c r="B1571" s="14" t="s">
        <v>3141</v>
      </c>
      <c r="C1571" s="23"/>
      <c r="D1571" s="23"/>
      <c r="E1571" s="23"/>
      <c r="F1571" s="42"/>
      <c r="G1571" s="42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</row>
    <row r="1572">
      <c r="A1572" s="18" t="s">
        <v>3142</v>
      </c>
      <c r="B1572" s="19" t="s">
        <v>3143</v>
      </c>
      <c r="C1572" s="23"/>
      <c r="D1572" s="23"/>
      <c r="E1572" s="23"/>
      <c r="F1572" s="42"/>
      <c r="G1572" s="42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</row>
    <row r="1573">
      <c r="A1573" s="13" t="s">
        <v>3144</v>
      </c>
      <c r="B1573" s="14" t="s">
        <v>3145</v>
      </c>
      <c r="C1573" s="23"/>
      <c r="D1573" s="23"/>
      <c r="E1573" s="23"/>
      <c r="F1573" s="42"/>
      <c r="G1573" s="42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</row>
    <row r="1574">
      <c r="A1574" s="18" t="s">
        <v>3146</v>
      </c>
      <c r="B1574" s="33" t="s">
        <v>3147</v>
      </c>
      <c r="C1574" s="23"/>
      <c r="D1574" s="23"/>
      <c r="E1574" s="23"/>
      <c r="F1574" s="42"/>
      <c r="G1574" s="42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</row>
    <row r="1575">
      <c r="A1575" s="22" t="s">
        <v>3148</v>
      </c>
      <c r="B1575" s="14" t="s">
        <v>3149</v>
      </c>
      <c r="C1575" s="23"/>
      <c r="D1575" s="23"/>
      <c r="E1575" s="23"/>
      <c r="F1575" s="42"/>
      <c r="G1575" s="42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</row>
    <row r="1576">
      <c r="A1576" s="18" t="s">
        <v>3150</v>
      </c>
      <c r="B1576" s="19" t="s">
        <v>3151</v>
      </c>
      <c r="C1576" s="23"/>
      <c r="D1576" s="23"/>
      <c r="E1576" s="23"/>
      <c r="F1576" s="42"/>
      <c r="G1576" s="42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</row>
    <row r="1577">
      <c r="A1577" s="22" t="s">
        <v>3152</v>
      </c>
      <c r="B1577" s="14" t="s">
        <v>3153</v>
      </c>
      <c r="C1577" s="23"/>
      <c r="D1577" s="23"/>
      <c r="E1577" s="23"/>
      <c r="F1577" s="42"/>
      <c r="G1577" s="42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</row>
    <row r="1578">
      <c r="A1578" s="18" t="s">
        <v>3154</v>
      </c>
      <c r="B1578" s="19" t="s">
        <v>3155</v>
      </c>
      <c r="C1578" s="23"/>
      <c r="D1578" s="23"/>
      <c r="E1578" s="23"/>
      <c r="F1578" s="42"/>
      <c r="G1578" s="42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</row>
    <row r="1579">
      <c r="A1579" s="13" t="s">
        <v>3156</v>
      </c>
      <c r="B1579" s="14" t="s">
        <v>3157</v>
      </c>
      <c r="C1579" s="23"/>
      <c r="D1579" s="23"/>
      <c r="E1579" s="23"/>
      <c r="F1579" s="42"/>
      <c r="G1579" s="42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</row>
    <row r="1580">
      <c r="A1580" s="18" t="s">
        <v>3158</v>
      </c>
      <c r="B1580" s="19" t="s">
        <v>3159</v>
      </c>
      <c r="C1580" s="23"/>
      <c r="D1580" s="23"/>
      <c r="E1580" s="23"/>
      <c r="F1580" s="42"/>
      <c r="G1580" s="42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</row>
    <row r="1581">
      <c r="A1581" s="13" t="s">
        <v>3160</v>
      </c>
      <c r="B1581" s="14" t="s">
        <v>3161</v>
      </c>
      <c r="C1581" s="23"/>
      <c r="D1581" s="23"/>
      <c r="E1581" s="23"/>
      <c r="F1581" s="42"/>
      <c r="G1581" s="42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</row>
    <row r="1582">
      <c r="A1582" s="18" t="s">
        <v>3162</v>
      </c>
      <c r="B1582" s="19" t="s">
        <v>3163</v>
      </c>
      <c r="C1582" s="23"/>
      <c r="D1582" s="23"/>
      <c r="E1582" s="23"/>
      <c r="F1582" s="42"/>
      <c r="G1582" s="42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</row>
    <row r="1583">
      <c r="A1583" s="13" t="s">
        <v>3164</v>
      </c>
      <c r="B1583" s="14" t="s">
        <v>3165</v>
      </c>
      <c r="C1583" s="23"/>
      <c r="D1583" s="23"/>
      <c r="E1583" s="23"/>
      <c r="F1583" s="42"/>
      <c r="G1583" s="42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</row>
    <row r="1584">
      <c r="A1584" s="25" t="s">
        <v>3166</v>
      </c>
      <c r="B1584" s="19" t="s">
        <v>3167</v>
      </c>
      <c r="C1584" s="23"/>
      <c r="D1584" s="23"/>
      <c r="E1584" s="23"/>
      <c r="F1584" s="42"/>
      <c r="G1584" s="42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</row>
    <row r="1585">
      <c r="A1585" s="13" t="s">
        <v>3168</v>
      </c>
      <c r="B1585" s="14" t="s">
        <v>3169</v>
      </c>
      <c r="C1585" s="23"/>
      <c r="D1585" s="23"/>
      <c r="E1585" s="23"/>
      <c r="F1585" s="42"/>
      <c r="G1585" s="42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</row>
    <row r="1586">
      <c r="A1586" s="25" t="s">
        <v>3170</v>
      </c>
      <c r="B1586" s="19" t="s">
        <v>3171</v>
      </c>
      <c r="C1586" s="23"/>
      <c r="D1586" s="23"/>
      <c r="E1586" s="23"/>
      <c r="F1586" s="42"/>
      <c r="G1586" s="42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</row>
    <row r="1587">
      <c r="A1587" s="13" t="s">
        <v>3172</v>
      </c>
      <c r="B1587" s="14" t="s">
        <v>3173</v>
      </c>
      <c r="C1587" s="23"/>
      <c r="D1587" s="23"/>
      <c r="E1587" s="23"/>
      <c r="F1587" s="42"/>
      <c r="G1587" s="42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</row>
    <row r="1588">
      <c r="A1588" s="18" t="s">
        <v>3174</v>
      </c>
      <c r="B1588" s="19" t="s">
        <v>3175</v>
      </c>
      <c r="C1588" s="23"/>
      <c r="D1588" s="23"/>
      <c r="E1588" s="23"/>
      <c r="F1588" s="42"/>
      <c r="G1588" s="42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</row>
    <row r="1589">
      <c r="A1589" s="13" t="s">
        <v>3176</v>
      </c>
      <c r="B1589" s="14" t="s">
        <v>3177</v>
      </c>
      <c r="C1589" s="23"/>
      <c r="D1589" s="23"/>
      <c r="E1589" s="23"/>
      <c r="F1589" s="42"/>
      <c r="G1589" s="42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</row>
    <row r="1590">
      <c r="A1590" s="25" t="s">
        <v>3178</v>
      </c>
      <c r="B1590" s="19" t="s">
        <v>3179</v>
      </c>
      <c r="C1590" s="23"/>
      <c r="D1590" s="23"/>
      <c r="E1590" s="23"/>
      <c r="F1590" s="42"/>
      <c r="G1590" s="42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</row>
    <row r="1591">
      <c r="A1591" s="13" t="s">
        <v>3180</v>
      </c>
      <c r="B1591" s="26" t="s">
        <v>3181</v>
      </c>
      <c r="C1591" s="23"/>
      <c r="D1591" s="23"/>
      <c r="E1591" s="23"/>
      <c r="F1591" s="42"/>
      <c r="G1591" s="42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</row>
    <row r="1592">
      <c r="A1592" s="25" t="s">
        <v>3182</v>
      </c>
      <c r="B1592" s="19" t="s">
        <v>3183</v>
      </c>
      <c r="C1592" s="23"/>
      <c r="D1592" s="23"/>
      <c r="E1592" s="23"/>
      <c r="F1592" s="42"/>
      <c r="G1592" s="42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</row>
    <row r="1593">
      <c r="A1593" s="13" t="s">
        <v>3184</v>
      </c>
      <c r="B1593" s="14" t="s">
        <v>3185</v>
      </c>
      <c r="C1593" s="23"/>
      <c r="D1593" s="23"/>
      <c r="E1593" s="23"/>
      <c r="F1593" s="42"/>
      <c r="G1593" s="42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</row>
    <row r="1594">
      <c r="A1594" s="25" t="s">
        <v>3186</v>
      </c>
      <c r="B1594" s="19" t="s">
        <v>3187</v>
      </c>
      <c r="C1594" s="23"/>
      <c r="D1594" s="23"/>
      <c r="E1594" s="23"/>
      <c r="F1594" s="42"/>
      <c r="G1594" s="42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</row>
    <row r="1595">
      <c r="A1595" s="13" t="s">
        <v>3188</v>
      </c>
      <c r="B1595" s="14" t="s">
        <v>3189</v>
      </c>
      <c r="C1595" s="23"/>
      <c r="D1595" s="23"/>
      <c r="E1595" s="23"/>
      <c r="F1595" s="42"/>
      <c r="G1595" s="42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</row>
    <row r="1596">
      <c r="A1596" s="25" t="s">
        <v>3190</v>
      </c>
      <c r="B1596" s="19" t="s">
        <v>3191</v>
      </c>
      <c r="C1596" s="23"/>
      <c r="D1596" s="23"/>
      <c r="E1596" s="23"/>
      <c r="F1596" s="42"/>
      <c r="G1596" s="42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</row>
    <row r="1597">
      <c r="A1597" s="13" t="s">
        <v>3192</v>
      </c>
      <c r="B1597" s="26" t="s">
        <v>3193</v>
      </c>
      <c r="C1597" s="23"/>
      <c r="D1597" s="23"/>
      <c r="E1597" s="23"/>
      <c r="F1597" s="42"/>
      <c r="G1597" s="42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</row>
    <row r="1598">
      <c r="A1598" s="25" t="s">
        <v>3194</v>
      </c>
      <c r="B1598" s="19" t="s">
        <v>3195</v>
      </c>
      <c r="C1598" s="23"/>
      <c r="D1598" s="23"/>
      <c r="E1598" s="23"/>
      <c r="F1598" s="42"/>
      <c r="G1598" s="42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</row>
    <row r="1599">
      <c r="A1599" s="22" t="s">
        <v>3196</v>
      </c>
      <c r="B1599" s="14" t="s">
        <v>3197</v>
      </c>
      <c r="C1599" s="23"/>
      <c r="D1599" s="23"/>
      <c r="E1599" s="23"/>
      <c r="F1599" s="42"/>
      <c r="G1599" s="42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</row>
    <row r="1600">
      <c r="A1600" s="18" t="s">
        <v>3198</v>
      </c>
      <c r="B1600" s="19" t="s">
        <v>3199</v>
      </c>
      <c r="C1600" s="23"/>
      <c r="D1600" s="23"/>
      <c r="E1600" s="23"/>
      <c r="F1600" s="42"/>
      <c r="G1600" s="42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</row>
    <row r="1601">
      <c r="A1601" s="28" t="s">
        <v>3200</v>
      </c>
      <c r="B1601" s="14" t="s">
        <v>3201</v>
      </c>
      <c r="C1601" s="23"/>
      <c r="D1601" s="23"/>
      <c r="E1601" s="23"/>
      <c r="F1601" s="42"/>
      <c r="G1601" s="42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</row>
    <row r="1602">
      <c r="A1602" s="18" t="s">
        <v>3202</v>
      </c>
      <c r="B1602" s="19" t="s">
        <v>3203</v>
      </c>
      <c r="C1602" s="23"/>
      <c r="D1602" s="23"/>
      <c r="E1602" s="23"/>
      <c r="F1602" s="42"/>
      <c r="G1602" s="42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</row>
    <row r="1603">
      <c r="A1603" s="22" t="s">
        <v>3204</v>
      </c>
      <c r="B1603" s="14" t="s">
        <v>3205</v>
      </c>
      <c r="C1603" s="23"/>
      <c r="D1603" s="23"/>
      <c r="E1603" s="23"/>
      <c r="F1603" s="42"/>
      <c r="G1603" s="42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</row>
    <row r="1604">
      <c r="A1604" s="18" t="s">
        <v>3206</v>
      </c>
      <c r="B1604" s="19" t="s">
        <v>3207</v>
      </c>
      <c r="C1604" s="23"/>
      <c r="D1604" s="23"/>
      <c r="E1604" s="23"/>
      <c r="F1604" s="42"/>
      <c r="G1604" s="42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</row>
    <row r="1605">
      <c r="A1605" s="13" t="s">
        <v>3208</v>
      </c>
      <c r="B1605" s="14" t="s">
        <v>3209</v>
      </c>
      <c r="C1605" s="23"/>
      <c r="D1605" s="23"/>
      <c r="E1605" s="23"/>
      <c r="F1605" s="42"/>
      <c r="G1605" s="42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</row>
    <row r="1606">
      <c r="A1606" s="18" t="s">
        <v>3210</v>
      </c>
      <c r="B1606" s="33" t="s">
        <v>3211</v>
      </c>
      <c r="C1606" s="23"/>
      <c r="D1606" s="23"/>
      <c r="E1606" s="23"/>
      <c r="F1606" s="42"/>
      <c r="G1606" s="42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</row>
    <row r="1607">
      <c r="A1607" s="22" t="s">
        <v>3212</v>
      </c>
      <c r="B1607" s="14" t="s">
        <v>3213</v>
      </c>
      <c r="C1607" s="23"/>
      <c r="D1607" s="23"/>
      <c r="E1607" s="23"/>
      <c r="F1607" s="42"/>
      <c r="G1607" s="42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</row>
    <row r="1608">
      <c r="A1608" s="18" t="s">
        <v>3214</v>
      </c>
      <c r="B1608" s="33" t="s">
        <v>3215</v>
      </c>
      <c r="C1608" s="23"/>
      <c r="D1608" s="23"/>
      <c r="E1608" s="23"/>
      <c r="F1608" s="42"/>
      <c r="G1608" s="42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</row>
    <row r="1609">
      <c r="A1609" s="22" t="s">
        <v>3216</v>
      </c>
      <c r="B1609" s="14" t="s">
        <v>3217</v>
      </c>
      <c r="C1609" s="23"/>
      <c r="D1609" s="23"/>
      <c r="E1609" s="23"/>
      <c r="F1609" s="42"/>
      <c r="G1609" s="42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</row>
    <row r="1610">
      <c r="A1610" s="18" t="s">
        <v>3218</v>
      </c>
      <c r="B1610" s="33" t="s">
        <v>3219</v>
      </c>
      <c r="C1610" s="23"/>
      <c r="D1610" s="23"/>
      <c r="E1610" s="23"/>
      <c r="F1610" s="42"/>
      <c r="G1610" s="42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</row>
    <row r="1611">
      <c r="A1611" s="13" t="s">
        <v>3220</v>
      </c>
      <c r="B1611" s="14" t="s">
        <v>3221</v>
      </c>
      <c r="C1611" s="23"/>
      <c r="D1611" s="23"/>
      <c r="E1611" s="23"/>
      <c r="F1611" s="42"/>
      <c r="G1611" s="42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</row>
    <row r="1612">
      <c r="A1612" s="25" t="s">
        <v>3222</v>
      </c>
      <c r="B1612" s="19" t="s">
        <v>3223</v>
      </c>
      <c r="C1612" s="23"/>
      <c r="D1612" s="23"/>
      <c r="E1612" s="23"/>
      <c r="F1612" s="42"/>
      <c r="G1612" s="42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</row>
    <row r="1613">
      <c r="A1613" s="13" t="s">
        <v>3224</v>
      </c>
      <c r="B1613" s="14" t="s">
        <v>3225</v>
      </c>
      <c r="C1613" s="23"/>
      <c r="D1613" s="23"/>
      <c r="E1613" s="23"/>
      <c r="F1613" s="42"/>
      <c r="G1613" s="42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</row>
    <row r="1614">
      <c r="A1614" s="18" t="s">
        <v>3226</v>
      </c>
      <c r="B1614" s="19" t="s">
        <v>3227</v>
      </c>
      <c r="C1614" s="23"/>
      <c r="D1614" s="23"/>
      <c r="E1614" s="23"/>
      <c r="F1614" s="42"/>
      <c r="G1614" s="42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</row>
    <row r="1615">
      <c r="A1615" s="22" t="s">
        <v>3228</v>
      </c>
      <c r="B1615" s="14" t="s">
        <v>3229</v>
      </c>
      <c r="C1615" s="23"/>
      <c r="D1615" s="23"/>
      <c r="E1615" s="23"/>
      <c r="F1615" s="42"/>
      <c r="G1615" s="42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</row>
    <row r="1616">
      <c r="A1616" s="18" t="s">
        <v>3230</v>
      </c>
      <c r="B1616" s="19" t="s">
        <v>3231</v>
      </c>
      <c r="C1616" s="23"/>
      <c r="D1616" s="23"/>
      <c r="E1616" s="23"/>
      <c r="F1616" s="42"/>
      <c r="G1616" s="42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</row>
    <row r="1617">
      <c r="A1617" s="13" t="s">
        <v>3232</v>
      </c>
      <c r="B1617" s="14" t="s">
        <v>3233</v>
      </c>
      <c r="C1617" s="23"/>
      <c r="D1617" s="23"/>
      <c r="E1617" s="23"/>
      <c r="F1617" s="42"/>
      <c r="G1617" s="42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</row>
    <row r="1618">
      <c r="A1618" s="18" t="s">
        <v>3234</v>
      </c>
      <c r="B1618" s="33" t="s">
        <v>3235</v>
      </c>
      <c r="C1618" s="23"/>
      <c r="D1618" s="23"/>
      <c r="E1618" s="23"/>
      <c r="F1618" s="42"/>
      <c r="G1618" s="42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</row>
    <row r="1619">
      <c r="A1619" s="13" t="s">
        <v>3236</v>
      </c>
      <c r="B1619" s="14" t="s">
        <v>3237</v>
      </c>
      <c r="C1619" s="23"/>
      <c r="D1619" s="23"/>
      <c r="E1619" s="23"/>
      <c r="F1619" s="42"/>
      <c r="G1619" s="42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</row>
    <row r="1620">
      <c r="A1620" s="25" t="s">
        <v>3238</v>
      </c>
      <c r="B1620" s="19" t="s">
        <v>3239</v>
      </c>
      <c r="C1620" s="23"/>
      <c r="D1620" s="23"/>
      <c r="E1620" s="23"/>
      <c r="F1620" s="42"/>
      <c r="G1620" s="42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</row>
    <row r="1621">
      <c r="A1621" s="13" t="s">
        <v>3240</v>
      </c>
      <c r="B1621" s="14" t="s">
        <v>3241</v>
      </c>
      <c r="C1621" s="23"/>
      <c r="D1621" s="23"/>
      <c r="E1621" s="23"/>
      <c r="F1621" s="42"/>
      <c r="G1621" s="42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</row>
    <row r="1622">
      <c r="A1622" s="18" t="s">
        <v>3242</v>
      </c>
      <c r="B1622" s="33" t="s">
        <v>3243</v>
      </c>
      <c r="C1622" s="23"/>
      <c r="D1622" s="23"/>
      <c r="E1622" s="23"/>
      <c r="F1622" s="42"/>
      <c r="G1622" s="42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</row>
    <row r="1623">
      <c r="A1623" s="22" t="s">
        <v>3244</v>
      </c>
      <c r="B1623" s="14" t="s">
        <v>3245</v>
      </c>
      <c r="C1623" s="23"/>
      <c r="D1623" s="23"/>
      <c r="E1623" s="23"/>
      <c r="F1623" s="42"/>
      <c r="G1623" s="42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</row>
    <row r="1624">
      <c r="A1624" s="25" t="s">
        <v>3246</v>
      </c>
      <c r="B1624" s="19" t="s">
        <v>3247</v>
      </c>
      <c r="C1624" s="23"/>
      <c r="D1624" s="23"/>
      <c r="E1624" s="23"/>
      <c r="F1624" s="42"/>
      <c r="G1624" s="42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</row>
    <row r="1625">
      <c r="A1625" s="13" t="s">
        <v>3248</v>
      </c>
      <c r="B1625" s="14" t="s">
        <v>3249</v>
      </c>
      <c r="C1625" s="23"/>
      <c r="D1625" s="23"/>
      <c r="E1625" s="23"/>
      <c r="F1625" s="42"/>
      <c r="G1625" s="42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</row>
    <row r="1626">
      <c r="A1626" s="18" t="s">
        <v>3250</v>
      </c>
      <c r="B1626" s="19" t="s">
        <v>3251</v>
      </c>
      <c r="C1626" s="23"/>
      <c r="D1626" s="23"/>
      <c r="E1626" s="23"/>
      <c r="F1626" s="42"/>
      <c r="G1626" s="42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</row>
    <row r="1627">
      <c r="A1627" s="13" t="s">
        <v>3252</v>
      </c>
      <c r="B1627" s="14" t="s">
        <v>3253</v>
      </c>
      <c r="C1627" s="23"/>
      <c r="D1627" s="23"/>
      <c r="E1627" s="23"/>
      <c r="F1627" s="42"/>
      <c r="G1627" s="42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</row>
    <row r="1628">
      <c r="A1628" s="18" t="s">
        <v>3254</v>
      </c>
      <c r="B1628" s="19" t="s">
        <v>3255</v>
      </c>
      <c r="C1628" s="23"/>
      <c r="D1628" s="23"/>
      <c r="E1628" s="23"/>
      <c r="F1628" s="42"/>
      <c r="G1628" s="42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</row>
    <row r="1629">
      <c r="A1629" s="13" t="s">
        <v>3256</v>
      </c>
      <c r="B1629" s="14" t="s">
        <v>3257</v>
      </c>
      <c r="C1629" s="23"/>
      <c r="D1629" s="23"/>
      <c r="E1629" s="23"/>
      <c r="F1629" s="42"/>
      <c r="G1629" s="42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</row>
    <row r="1630">
      <c r="A1630" s="25" t="s">
        <v>3258</v>
      </c>
      <c r="B1630" s="33" t="s">
        <v>3259</v>
      </c>
      <c r="C1630" s="23"/>
      <c r="D1630" s="23"/>
      <c r="E1630" s="23"/>
      <c r="F1630" s="42"/>
      <c r="G1630" s="42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</row>
    <row r="1631">
      <c r="A1631" s="22" t="s">
        <v>3260</v>
      </c>
      <c r="B1631" s="14" t="s">
        <v>3261</v>
      </c>
      <c r="C1631" s="23"/>
      <c r="D1631" s="23"/>
      <c r="E1631" s="23"/>
      <c r="F1631" s="42"/>
      <c r="G1631" s="42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</row>
    <row r="1632">
      <c r="A1632" s="18" t="s">
        <v>3262</v>
      </c>
      <c r="B1632" s="19" t="s">
        <v>3263</v>
      </c>
      <c r="C1632" s="23"/>
      <c r="D1632" s="23"/>
      <c r="E1632" s="23"/>
      <c r="F1632" s="42"/>
      <c r="G1632" s="42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</row>
    <row r="1633">
      <c r="A1633" s="13" t="s">
        <v>3264</v>
      </c>
      <c r="B1633" s="14" t="s">
        <v>3265</v>
      </c>
      <c r="C1633" s="23"/>
      <c r="D1633" s="23"/>
      <c r="E1633" s="23"/>
      <c r="F1633" s="42"/>
      <c r="G1633" s="42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</row>
    <row r="1634">
      <c r="A1634" s="18" t="s">
        <v>3266</v>
      </c>
      <c r="B1634" s="19" t="s">
        <v>3267</v>
      </c>
      <c r="C1634" s="23"/>
      <c r="D1634" s="23"/>
      <c r="E1634" s="23"/>
      <c r="F1634" s="42"/>
      <c r="G1634" s="42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</row>
    <row r="1635">
      <c r="A1635" s="13" t="s">
        <v>3268</v>
      </c>
      <c r="B1635" s="14" t="s">
        <v>3269</v>
      </c>
      <c r="C1635" s="23"/>
      <c r="D1635" s="23"/>
      <c r="E1635" s="23"/>
      <c r="F1635" s="42"/>
      <c r="G1635" s="42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</row>
    <row r="1636">
      <c r="A1636" s="25" t="s">
        <v>3270</v>
      </c>
      <c r="B1636" s="19" t="s">
        <v>3271</v>
      </c>
      <c r="C1636" s="23"/>
      <c r="D1636" s="23"/>
      <c r="E1636" s="23"/>
      <c r="F1636" s="42"/>
      <c r="G1636" s="42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</row>
    <row r="1637">
      <c r="A1637" s="13" t="s">
        <v>3272</v>
      </c>
      <c r="B1637" s="26" t="s">
        <v>3273</v>
      </c>
      <c r="C1637" s="23"/>
      <c r="D1637" s="23"/>
      <c r="E1637" s="23"/>
      <c r="F1637" s="42"/>
      <c r="G1637" s="42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</row>
    <row r="1638">
      <c r="A1638" s="18" t="s">
        <v>3274</v>
      </c>
      <c r="B1638" s="19" t="s">
        <v>3275</v>
      </c>
      <c r="C1638" s="23"/>
      <c r="D1638" s="23"/>
      <c r="E1638" s="23"/>
      <c r="F1638" s="42"/>
      <c r="G1638" s="42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</row>
    <row r="1639">
      <c r="A1639" s="13" t="s">
        <v>3276</v>
      </c>
      <c r="B1639" s="14" t="s">
        <v>3277</v>
      </c>
      <c r="C1639" s="23"/>
      <c r="D1639" s="23"/>
      <c r="E1639" s="23"/>
      <c r="F1639" s="42"/>
      <c r="G1639" s="42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</row>
    <row r="1640">
      <c r="A1640" s="9" t="s">
        <v>3278</v>
      </c>
      <c r="B1640" s="10" t="s">
        <v>3279</v>
      </c>
      <c r="C1640" s="23"/>
      <c r="D1640" s="23"/>
      <c r="E1640" s="23"/>
      <c r="F1640" s="42"/>
      <c r="G1640" s="42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</row>
    <row r="1641">
      <c r="A1641" s="13" t="s">
        <v>3280</v>
      </c>
      <c r="B1641" s="26" t="s">
        <v>3281</v>
      </c>
      <c r="C1641" s="23"/>
      <c r="D1641" s="23"/>
      <c r="E1641" s="23"/>
      <c r="F1641" s="42"/>
      <c r="G1641" s="42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</row>
    <row r="1642">
      <c r="A1642" s="25" t="s">
        <v>3282</v>
      </c>
      <c r="B1642" s="19" t="s">
        <v>3283</v>
      </c>
      <c r="C1642" s="23"/>
      <c r="D1642" s="23"/>
      <c r="E1642" s="23"/>
      <c r="F1642" s="42"/>
      <c r="G1642" s="42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</row>
    <row r="1643">
      <c r="A1643" s="22" t="s">
        <v>3284</v>
      </c>
      <c r="B1643" s="14" t="s">
        <v>3285</v>
      </c>
      <c r="C1643" s="23"/>
      <c r="D1643" s="23"/>
      <c r="E1643" s="23"/>
      <c r="F1643" s="42"/>
      <c r="G1643" s="42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</row>
    <row r="1644">
      <c r="A1644" s="18" t="s">
        <v>3286</v>
      </c>
      <c r="B1644" s="19" t="s">
        <v>3287</v>
      </c>
      <c r="C1644" s="23"/>
      <c r="D1644" s="23"/>
      <c r="E1644" s="23"/>
      <c r="F1644" s="42"/>
      <c r="G1644" s="42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</row>
    <row r="1645">
      <c r="A1645" s="13" t="s">
        <v>3288</v>
      </c>
      <c r="B1645" s="14" t="s">
        <v>3289</v>
      </c>
      <c r="C1645" s="23"/>
      <c r="D1645" s="23"/>
      <c r="E1645" s="23"/>
      <c r="F1645" s="42"/>
      <c r="G1645" s="42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</row>
    <row r="1646">
      <c r="A1646" s="18" t="s">
        <v>3290</v>
      </c>
      <c r="B1646" s="19" t="s">
        <v>3291</v>
      </c>
      <c r="C1646" s="23"/>
      <c r="D1646" s="23"/>
      <c r="E1646" s="23"/>
      <c r="F1646" s="42"/>
      <c r="G1646" s="42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</row>
    <row r="1647">
      <c r="A1647" s="13" t="s">
        <v>3292</v>
      </c>
      <c r="B1647" s="14" t="s">
        <v>3293</v>
      </c>
      <c r="C1647" s="23"/>
      <c r="D1647" s="23"/>
      <c r="E1647" s="23"/>
      <c r="F1647" s="42"/>
      <c r="G1647" s="42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</row>
    <row r="1648">
      <c r="A1648" s="18" t="s">
        <v>3294</v>
      </c>
      <c r="B1648" s="19" t="s">
        <v>3295</v>
      </c>
      <c r="C1648" s="23"/>
      <c r="D1648" s="23"/>
      <c r="E1648" s="23"/>
      <c r="F1648" s="42"/>
      <c r="G1648" s="42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</row>
    <row r="1649">
      <c r="A1649" s="13" t="s">
        <v>3296</v>
      </c>
      <c r="B1649" s="14" t="s">
        <v>3297</v>
      </c>
      <c r="C1649" s="23"/>
      <c r="D1649" s="23"/>
      <c r="E1649" s="23"/>
      <c r="F1649" s="42"/>
      <c r="G1649" s="42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</row>
    <row r="1650">
      <c r="A1650" s="18" t="s">
        <v>3298</v>
      </c>
      <c r="B1650" s="19" t="s">
        <v>3299</v>
      </c>
      <c r="C1650" s="23"/>
      <c r="D1650" s="23"/>
      <c r="E1650" s="23"/>
      <c r="F1650" s="42"/>
      <c r="G1650" s="42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</row>
    <row r="1651">
      <c r="A1651" s="22" t="s">
        <v>3300</v>
      </c>
      <c r="B1651" s="14" t="s">
        <v>3301</v>
      </c>
      <c r="C1651" s="23"/>
      <c r="D1651" s="23"/>
      <c r="E1651" s="23"/>
      <c r="F1651" s="42"/>
      <c r="G1651" s="42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</row>
    <row r="1652">
      <c r="A1652" s="9" t="s">
        <v>3302</v>
      </c>
      <c r="B1652" s="10" t="s">
        <v>3303</v>
      </c>
      <c r="C1652" s="23"/>
      <c r="D1652" s="23"/>
      <c r="E1652" s="23"/>
      <c r="F1652" s="42"/>
      <c r="G1652" s="42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</row>
    <row r="1653">
      <c r="A1653" s="13" t="s">
        <v>3304</v>
      </c>
      <c r="B1653" s="14" t="s">
        <v>3305</v>
      </c>
      <c r="C1653" s="23"/>
      <c r="D1653" s="23"/>
      <c r="E1653" s="23"/>
      <c r="F1653" s="42"/>
      <c r="G1653" s="42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</row>
    <row r="1654">
      <c r="A1654" s="18" t="s">
        <v>3306</v>
      </c>
      <c r="B1654" s="19" t="s">
        <v>3307</v>
      </c>
      <c r="C1654" s="23"/>
      <c r="D1654" s="23"/>
      <c r="E1654" s="23"/>
      <c r="F1654" s="42"/>
      <c r="G1654" s="42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</row>
    <row r="1655">
      <c r="A1655" s="13" t="s">
        <v>3308</v>
      </c>
      <c r="B1655" s="14" t="s">
        <v>3309</v>
      </c>
      <c r="C1655" s="23"/>
      <c r="D1655" s="23"/>
      <c r="E1655" s="23"/>
      <c r="F1655" s="42"/>
      <c r="G1655" s="42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</row>
    <row r="1656">
      <c r="A1656" s="25" t="s">
        <v>3310</v>
      </c>
      <c r="B1656" s="19" t="s">
        <v>3311</v>
      </c>
      <c r="C1656" s="23"/>
      <c r="D1656" s="23"/>
      <c r="E1656" s="23"/>
      <c r="F1656" s="42"/>
      <c r="G1656" s="42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</row>
    <row r="1657">
      <c r="A1657" s="13" t="s">
        <v>3312</v>
      </c>
      <c r="B1657" s="14" t="s">
        <v>3313</v>
      </c>
      <c r="C1657" s="23"/>
      <c r="D1657" s="23"/>
      <c r="E1657" s="23"/>
      <c r="F1657" s="42"/>
      <c r="G1657" s="42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</row>
    <row r="1658">
      <c r="A1658" s="25" t="s">
        <v>3314</v>
      </c>
      <c r="B1658" s="19" t="s">
        <v>3315</v>
      </c>
      <c r="C1658" s="23"/>
      <c r="D1658" s="23"/>
      <c r="E1658" s="23"/>
      <c r="F1658" s="42"/>
      <c r="G1658" s="42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</row>
    <row r="1659">
      <c r="A1659" s="13" t="s">
        <v>3316</v>
      </c>
      <c r="B1659" s="26" t="s">
        <v>3317</v>
      </c>
      <c r="C1659" s="23"/>
      <c r="D1659" s="23"/>
      <c r="E1659" s="23"/>
      <c r="F1659" s="42"/>
      <c r="G1659" s="42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</row>
    <row r="1660">
      <c r="A1660" s="18" t="s">
        <v>3318</v>
      </c>
      <c r="B1660" s="19" t="s">
        <v>3319</v>
      </c>
      <c r="C1660" s="23"/>
      <c r="D1660" s="23"/>
      <c r="E1660" s="23"/>
      <c r="F1660" s="42"/>
      <c r="G1660" s="42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</row>
    <row r="1661">
      <c r="A1661" s="13" t="s">
        <v>3320</v>
      </c>
      <c r="B1661" s="26" t="s">
        <v>3321</v>
      </c>
      <c r="C1661" s="23"/>
      <c r="D1661" s="23"/>
      <c r="E1661" s="23"/>
      <c r="F1661" s="42"/>
      <c r="G1661" s="42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</row>
    <row r="1662">
      <c r="A1662" s="25" t="s">
        <v>3322</v>
      </c>
      <c r="B1662" s="19" t="s">
        <v>3323</v>
      </c>
      <c r="C1662" s="23"/>
      <c r="D1662" s="23"/>
      <c r="E1662" s="23"/>
      <c r="F1662" s="42"/>
      <c r="G1662" s="42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</row>
    <row r="1663">
      <c r="A1663" s="13" t="s">
        <v>3324</v>
      </c>
      <c r="B1663" s="14" t="s">
        <v>3325</v>
      </c>
      <c r="C1663" s="23"/>
      <c r="D1663" s="23"/>
      <c r="E1663" s="23"/>
      <c r="F1663" s="42"/>
      <c r="G1663" s="42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</row>
    <row r="1664">
      <c r="A1664" s="18" t="s">
        <v>3326</v>
      </c>
      <c r="B1664" s="19" t="s">
        <v>3327</v>
      </c>
      <c r="C1664" s="23"/>
      <c r="D1664" s="23"/>
      <c r="E1664" s="23"/>
      <c r="F1664" s="42"/>
      <c r="G1664" s="42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</row>
    <row r="1665">
      <c r="A1665" s="13" t="s">
        <v>3328</v>
      </c>
      <c r="B1665" s="14" t="s">
        <v>3329</v>
      </c>
      <c r="C1665" s="23"/>
      <c r="D1665" s="23"/>
      <c r="E1665" s="23"/>
      <c r="F1665" s="42"/>
      <c r="G1665" s="42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</row>
    <row r="1666">
      <c r="A1666" s="18" t="s">
        <v>3330</v>
      </c>
      <c r="B1666" s="19" t="s">
        <v>3331</v>
      </c>
      <c r="C1666" s="23"/>
      <c r="D1666" s="23"/>
      <c r="E1666" s="23"/>
      <c r="F1666" s="42"/>
      <c r="G1666" s="42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</row>
    <row r="1667">
      <c r="A1667" s="13" t="s">
        <v>3332</v>
      </c>
      <c r="B1667" s="14" t="s">
        <v>3333</v>
      </c>
      <c r="C1667" s="23"/>
      <c r="D1667" s="23"/>
      <c r="E1667" s="23"/>
      <c r="F1667" s="42"/>
      <c r="G1667" s="42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</row>
    <row r="1668">
      <c r="A1668" s="18" t="s">
        <v>3334</v>
      </c>
      <c r="B1668" s="19" t="s">
        <v>3335</v>
      </c>
      <c r="C1668" s="23"/>
      <c r="D1668" s="23"/>
      <c r="E1668" s="23"/>
      <c r="F1668" s="42"/>
      <c r="G1668" s="42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</row>
    <row r="1669">
      <c r="A1669" s="13" t="s">
        <v>3336</v>
      </c>
      <c r="B1669" s="14" t="s">
        <v>3337</v>
      </c>
      <c r="C1669" s="23"/>
      <c r="D1669" s="23"/>
      <c r="E1669" s="23"/>
      <c r="F1669" s="42"/>
      <c r="G1669" s="42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</row>
    <row r="1670">
      <c r="A1670" s="18" t="s">
        <v>3338</v>
      </c>
      <c r="B1670" s="19" t="s">
        <v>3339</v>
      </c>
      <c r="C1670" s="23"/>
      <c r="D1670" s="23"/>
      <c r="E1670" s="23"/>
      <c r="F1670" s="42"/>
      <c r="G1670" s="42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</row>
    <row r="1671">
      <c r="A1671" s="22" t="s">
        <v>3340</v>
      </c>
      <c r="B1671" s="14" t="s">
        <v>3341</v>
      </c>
      <c r="C1671" s="23"/>
      <c r="D1671" s="23"/>
      <c r="E1671" s="23"/>
      <c r="F1671" s="42"/>
      <c r="G1671" s="42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</row>
    <row r="1672">
      <c r="A1672" s="9" t="s">
        <v>3342</v>
      </c>
      <c r="B1672" s="10" t="s">
        <v>3343</v>
      </c>
      <c r="C1672" s="23"/>
      <c r="D1672" s="23"/>
      <c r="E1672" s="23"/>
      <c r="F1672" s="42"/>
      <c r="G1672" s="42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</row>
    <row r="1673">
      <c r="A1673" s="13" t="s">
        <v>3344</v>
      </c>
      <c r="B1673" s="14" t="s">
        <v>3345</v>
      </c>
      <c r="C1673" s="23"/>
      <c r="D1673" s="23"/>
      <c r="E1673" s="23"/>
      <c r="F1673" s="42"/>
      <c r="G1673" s="42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</row>
    <row r="1674">
      <c r="A1674" s="18" t="s">
        <v>3346</v>
      </c>
      <c r="B1674" s="19" t="s">
        <v>3347</v>
      </c>
      <c r="C1674" s="23"/>
      <c r="D1674" s="23"/>
      <c r="E1674" s="23"/>
      <c r="F1674" s="42"/>
      <c r="G1674" s="42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</row>
    <row r="1675">
      <c r="A1675" s="13" t="s">
        <v>3348</v>
      </c>
      <c r="B1675" s="14" t="s">
        <v>3349</v>
      </c>
      <c r="C1675" s="23"/>
      <c r="D1675" s="23"/>
      <c r="E1675" s="23"/>
      <c r="F1675" s="42"/>
      <c r="G1675" s="42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</row>
    <row r="1676">
      <c r="A1676" s="18" t="s">
        <v>3350</v>
      </c>
      <c r="B1676" s="19" t="s">
        <v>3351</v>
      </c>
      <c r="C1676" s="23"/>
      <c r="D1676" s="23"/>
      <c r="E1676" s="23"/>
      <c r="F1676" s="42"/>
      <c r="G1676" s="42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</row>
    <row r="1677">
      <c r="A1677" s="22" t="s">
        <v>3352</v>
      </c>
      <c r="B1677" s="14" t="s">
        <v>3353</v>
      </c>
      <c r="C1677" s="23"/>
      <c r="D1677" s="23"/>
      <c r="E1677" s="23"/>
      <c r="F1677" s="42"/>
      <c r="G1677" s="42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</row>
    <row r="1678">
      <c r="A1678" s="18" t="s">
        <v>3354</v>
      </c>
      <c r="B1678" s="19" t="s">
        <v>3355</v>
      </c>
      <c r="C1678" s="23"/>
      <c r="D1678" s="23"/>
      <c r="E1678" s="23"/>
      <c r="F1678" s="42"/>
      <c r="G1678" s="42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</row>
    <row r="1679">
      <c r="A1679" s="13" t="s">
        <v>3356</v>
      </c>
      <c r="B1679" s="14" t="s">
        <v>3357</v>
      </c>
      <c r="C1679" s="23"/>
      <c r="D1679" s="23"/>
      <c r="E1679" s="23"/>
      <c r="F1679" s="42"/>
      <c r="G1679" s="42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</row>
    <row r="1680">
      <c r="A1680" s="18" t="s">
        <v>3358</v>
      </c>
      <c r="B1680" s="19" t="s">
        <v>3359</v>
      </c>
      <c r="C1680" s="23"/>
      <c r="D1680" s="23"/>
      <c r="E1680" s="23"/>
      <c r="F1680" s="42"/>
      <c r="G1680" s="42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</row>
    <row r="1681">
      <c r="A1681" s="13" t="s">
        <v>3360</v>
      </c>
      <c r="B1681" s="14" t="s">
        <v>3361</v>
      </c>
      <c r="C1681" s="23"/>
      <c r="D1681" s="23"/>
      <c r="E1681" s="23"/>
      <c r="F1681" s="42"/>
      <c r="G1681" s="42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</row>
    <row r="1682">
      <c r="A1682" s="25" t="s">
        <v>3362</v>
      </c>
      <c r="B1682" s="19" t="s">
        <v>3363</v>
      </c>
      <c r="C1682" s="23"/>
      <c r="D1682" s="23"/>
      <c r="E1682" s="23"/>
      <c r="F1682" s="42"/>
      <c r="G1682" s="42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</row>
    <row r="1683">
      <c r="A1683" s="13" t="s">
        <v>3364</v>
      </c>
      <c r="B1683" s="14" t="s">
        <v>3365</v>
      </c>
      <c r="C1683" s="23"/>
      <c r="D1683" s="23"/>
      <c r="E1683" s="23"/>
      <c r="F1683" s="42"/>
      <c r="G1683" s="42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</row>
    <row r="1684">
      <c r="A1684" s="18" t="s">
        <v>3366</v>
      </c>
      <c r="B1684" s="19" t="s">
        <v>3367</v>
      </c>
      <c r="C1684" s="23"/>
      <c r="D1684" s="23"/>
      <c r="E1684" s="23"/>
      <c r="F1684" s="42"/>
      <c r="G1684" s="42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</row>
    <row r="1685">
      <c r="A1685" s="22" t="s">
        <v>3368</v>
      </c>
      <c r="B1685" s="14" t="s">
        <v>3369</v>
      </c>
      <c r="C1685" s="23"/>
      <c r="D1685" s="23"/>
      <c r="E1685" s="23"/>
      <c r="F1685" s="42"/>
      <c r="G1685" s="42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</row>
    <row r="1686">
      <c r="A1686" s="18" t="s">
        <v>3370</v>
      </c>
      <c r="B1686" s="19" t="s">
        <v>3371</v>
      </c>
      <c r="C1686" s="23"/>
      <c r="D1686" s="23"/>
      <c r="E1686" s="23"/>
      <c r="F1686" s="42"/>
      <c r="G1686" s="42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</row>
    <row r="1687">
      <c r="A1687" s="13" t="s">
        <v>3372</v>
      </c>
      <c r="B1687" s="26" t="s">
        <v>3373</v>
      </c>
      <c r="C1687" s="23"/>
      <c r="D1687" s="23"/>
      <c r="E1687" s="23"/>
      <c r="F1687" s="42"/>
      <c r="G1687" s="42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</row>
    <row r="1688">
      <c r="A1688" s="25" t="s">
        <v>3374</v>
      </c>
      <c r="B1688" s="19" t="s">
        <v>3375</v>
      </c>
      <c r="C1688" s="23"/>
      <c r="D1688" s="23"/>
      <c r="E1688" s="23"/>
      <c r="F1688" s="42"/>
      <c r="G1688" s="42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</row>
    <row r="1689">
      <c r="A1689" s="13" t="s">
        <v>3376</v>
      </c>
      <c r="B1689" s="26" t="s">
        <v>3377</v>
      </c>
      <c r="C1689" s="23"/>
      <c r="D1689" s="23"/>
      <c r="E1689" s="23"/>
      <c r="F1689" s="42"/>
      <c r="G1689" s="42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</row>
    <row r="1690">
      <c r="A1690" s="18" t="s">
        <v>3378</v>
      </c>
      <c r="B1690" s="19" t="s">
        <v>3379</v>
      </c>
      <c r="C1690" s="23"/>
      <c r="D1690" s="23"/>
      <c r="E1690" s="23"/>
      <c r="F1690" s="42"/>
      <c r="G1690" s="42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</row>
    <row r="1691">
      <c r="A1691" s="13" t="s">
        <v>3380</v>
      </c>
      <c r="B1691" s="14" t="s">
        <v>3381</v>
      </c>
      <c r="C1691" s="23"/>
      <c r="D1691" s="23"/>
      <c r="E1691" s="23"/>
      <c r="F1691" s="42"/>
      <c r="G1691" s="42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</row>
    <row r="1692">
      <c r="A1692" s="18" t="s">
        <v>3382</v>
      </c>
      <c r="B1692" s="19" t="s">
        <v>3383</v>
      </c>
      <c r="C1692" s="23"/>
      <c r="D1692" s="23"/>
      <c r="E1692" s="23"/>
      <c r="F1692" s="42"/>
      <c r="G1692" s="42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</row>
    <row r="1693">
      <c r="A1693" s="13" t="s">
        <v>3384</v>
      </c>
      <c r="B1693" s="14" t="s">
        <v>3385</v>
      </c>
      <c r="C1693" s="23"/>
      <c r="D1693" s="23"/>
      <c r="E1693" s="23"/>
      <c r="F1693" s="42"/>
      <c r="G1693" s="42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</row>
    <row r="1694">
      <c r="A1694" s="18" t="s">
        <v>3386</v>
      </c>
      <c r="B1694" s="19" t="s">
        <v>3387</v>
      </c>
      <c r="C1694" s="23"/>
      <c r="D1694" s="23"/>
      <c r="E1694" s="23"/>
      <c r="F1694" s="42"/>
      <c r="G1694" s="42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</row>
    <row r="1695">
      <c r="A1695" s="13" t="s">
        <v>3388</v>
      </c>
      <c r="B1695" s="14" t="s">
        <v>3389</v>
      </c>
      <c r="C1695" s="23"/>
      <c r="D1695" s="23"/>
      <c r="E1695" s="23"/>
      <c r="F1695" s="42"/>
      <c r="G1695" s="42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</row>
    <row r="1696">
      <c r="A1696" s="9" t="s">
        <v>3390</v>
      </c>
      <c r="B1696" s="10" t="s">
        <v>3391</v>
      </c>
      <c r="C1696" s="23"/>
      <c r="D1696" s="23"/>
      <c r="E1696" s="23"/>
      <c r="F1696" s="42"/>
      <c r="G1696" s="42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</row>
    <row r="1697">
      <c r="A1697" s="22" t="s">
        <v>3392</v>
      </c>
      <c r="B1697" s="14" t="s">
        <v>3393</v>
      </c>
      <c r="C1697" s="23"/>
      <c r="D1697" s="23"/>
      <c r="E1697" s="23"/>
      <c r="F1697" s="42"/>
      <c r="G1697" s="42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</row>
    <row r="1698">
      <c r="A1698" s="25" t="s">
        <v>3394</v>
      </c>
      <c r="B1698" s="19" t="s">
        <v>3395</v>
      </c>
      <c r="C1698" s="23"/>
      <c r="D1698" s="23"/>
      <c r="E1698" s="23"/>
      <c r="F1698" s="42"/>
      <c r="G1698" s="42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</row>
    <row r="1699">
      <c r="A1699" s="13" t="s">
        <v>3396</v>
      </c>
      <c r="B1699" s="14" t="s">
        <v>3397</v>
      </c>
      <c r="C1699" s="23"/>
      <c r="D1699" s="23"/>
      <c r="E1699" s="23"/>
      <c r="F1699" s="42"/>
      <c r="G1699" s="42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</row>
    <row r="1700">
      <c r="A1700" s="9" t="s">
        <v>3398</v>
      </c>
      <c r="B1700" s="10" t="s">
        <v>3399</v>
      </c>
      <c r="C1700" s="23"/>
      <c r="D1700" s="23"/>
      <c r="E1700" s="23"/>
      <c r="F1700" s="42"/>
      <c r="G1700" s="42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</row>
    <row r="1701">
      <c r="A1701" s="44" t="s">
        <v>3400</v>
      </c>
      <c r="B1701" s="45" t="s">
        <v>3401</v>
      </c>
      <c r="C1701" s="23"/>
      <c r="D1701" s="23"/>
      <c r="E1701" s="23"/>
      <c r="F1701" s="42"/>
      <c r="G1701" s="42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</row>
    <row r="1702">
      <c r="A1702" s="18" t="s">
        <v>3402</v>
      </c>
      <c r="B1702" s="33" t="s">
        <v>3403</v>
      </c>
      <c r="C1702" s="23"/>
      <c r="D1702" s="23"/>
      <c r="E1702" s="23"/>
      <c r="F1702" s="42"/>
      <c r="G1702" s="42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</row>
    <row r="1703">
      <c r="A1703" s="44" t="s">
        <v>3404</v>
      </c>
      <c r="B1703" s="45" t="s">
        <v>3405</v>
      </c>
      <c r="C1703" s="23"/>
      <c r="D1703" s="23"/>
      <c r="E1703" s="23"/>
      <c r="F1703" s="42"/>
      <c r="G1703" s="42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</row>
    <row r="1704">
      <c r="A1704" s="18" t="s">
        <v>3406</v>
      </c>
      <c r="B1704" s="19" t="s">
        <v>3407</v>
      </c>
      <c r="C1704" s="23"/>
      <c r="D1704" s="23"/>
      <c r="E1704" s="23"/>
      <c r="F1704" s="42"/>
      <c r="G1704" s="42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</row>
    <row r="1705">
      <c r="A1705" s="22" t="s">
        <v>3408</v>
      </c>
      <c r="B1705" s="14" t="s">
        <v>3409</v>
      </c>
      <c r="C1705" s="23"/>
      <c r="D1705" s="23"/>
      <c r="E1705" s="23"/>
      <c r="F1705" s="42"/>
      <c r="G1705" s="42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</row>
    <row r="1706">
      <c r="A1706" s="25" t="s">
        <v>3410</v>
      </c>
      <c r="B1706" s="19" t="s">
        <v>3411</v>
      </c>
      <c r="C1706" s="23"/>
      <c r="D1706" s="23"/>
      <c r="E1706" s="23"/>
      <c r="F1706" s="42"/>
      <c r="G1706" s="42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</row>
    <row r="1707">
      <c r="A1707" s="22" t="s">
        <v>3412</v>
      </c>
      <c r="B1707" s="14" t="s">
        <v>3413</v>
      </c>
      <c r="C1707" s="23"/>
      <c r="D1707" s="23"/>
      <c r="E1707" s="23"/>
      <c r="F1707" s="42"/>
      <c r="G1707" s="42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</row>
    <row r="1708">
      <c r="A1708" s="25" t="s">
        <v>3414</v>
      </c>
      <c r="B1708" s="19" t="s">
        <v>3415</v>
      </c>
      <c r="C1708" s="23"/>
      <c r="D1708" s="23"/>
      <c r="E1708" s="23"/>
      <c r="F1708" s="42"/>
      <c r="G1708" s="42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</row>
    <row r="1709">
      <c r="A1709" s="22" t="s">
        <v>3416</v>
      </c>
      <c r="B1709" s="14" t="s">
        <v>3417</v>
      </c>
      <c r="C1709" s="23"/>
      <c r="D1709" s="23"/>
      <c r="E1709" s="23"/>
      <c r="F1709" s="42"/>
      <c r="G1709" s="42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</row>
    <row r="1710">
      <c r="A1710" s="18" t="s">
        <v>3418</v>
      </c>
      <c r="B1710" s="19" t="s">
        <v>3419</v>
      </c>
      <c r="C1710" s="23"/>
      <c r="D1710" s="23"/>
      <c r="E1710" s="23"/>
      <c r="F1710" s="42"/>
      <c r="G1710" s="42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</row>
    <row r="1711">
      <c r="A1711" s="13" t="s">
        <v>3420</v>
      </c>
      <c r="B1711" s="26" t="s">
        <v>3421</v>
      </c>
      <c r="C1711" s="23"/>
      <c r="D1711" s="23"/>
      <c r="E1711" s="23"/>
      <c r="F1711" s="42"/>
      <c r="G1711" s="42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</row>
    <row r="1712">
      <c r="A1712" s="18" t="s">
        <v>3422</v>
      </c>
      <c r="B1712" s="33" t="s">
        <v>3423</v>
      </c>
      <c r="C1712" s="23"/>
      <c r="D1712" s="23"/>
      <c r="E1712" s="23"/>
      <c r="F1712" s="42"/>
      <c r="G1712" s="42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</row>
    <row r="1713">
      <c r="A1713" s="13" t="s">
        <v>3424</v>
      </c>
      <c r="B1713" s="14" t="s">
        <v>3425</v>
      </c>
      <c r="C1713" s="23"/>
      <c r="D1713" s="23"/>
      <c r="E1713" s="23"/>
      <c r="F1713" s="42"/>
      <c r="G1713" s="42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</row>
    <row r="1714">
      <c r="A1714" s="25" t="s">
        <v>3426</v>
      </c>
      <c r="B1714" s="19" t="s">
        <v>3427</v>
      </c>
      <c r="C1714" s="23"/>
      <c r="D1714" s="23"/>
      <c r="E1714" s="23"/>
      <c r="F1714" s="42"/>
      <c r="G1714" s="42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</row>
    <row r="1715">
      <c r="A1715" s="13" t="s">
        <v>3428</v>
      </c>
      <c r="B1715" s="26" t="s">
        <v>3429</v>
      </c>
      <c r="C1715" s="23"/>
      <c r="D1715" s="23"/>
      <c r="E1715" s="23"/>
      <c r="F1715" s="42"/>
      <c r="G1715" s="42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</row>
    <row r="1716">
      <c r="A1716" s="25" t="s">
        <v>3430</v>
      </c>
      <c r="B1716" s="19" t="s">
        <v>3431</v>
      </c>
      <c r="C1716" s="23"/>
      <c r="D1716" s="23"/>
      <c r="E1716" s="23"/>
      <c r="F1716" s="42"/>
      <c r="G1716" s="42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</row>
    <row r="1717">
      <c r="A1717" s="22" t="s">
        <v>3432</v>
      </c>
      <c r="B1717" s="14" t="s">
        <v>3433</v>
      </c>
      <c r="C1717" s="23"/>
      <c r="D1717" s="23"/>
      <c r="E1717" s="23"/>
      <c r="F1717" s="42"/>
      <c r="G1717" s="42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</row>
    <row r="1718">
      <c r="A1718" s="18" t="s">
        <v>3434</v>
      </c>
      <c r="B1718" s="19" t="s">
        <v>3435</v>
      </c>
      <c r="C1718" s="23"/>
      <c r="D1718" s="23"/>
      <c r="E1718" s="23"/>
      <c r="F1718" s="42"/>
      <c r="G1718" s="42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</row>
    <row r="1719">
      <c r="A1719" s="13" t="s">
        <v>3436</v>
      </c>
      <c r="B1719" s="26" t="s">
        <v>3437</v>
      </c>
      <c r="C1719" s="23"/>
      <c r="D1719" s="23"/>
      <c r="E1719" s="23"/>
      <c r="F1719" s="42"/>
      <c r="G1719" s="42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</row>
    <row r="1720">
      <c r="A1720" s="18" t="s">
        <v>3438</v>
      </c>
      <c r="B1720" s="19" t="s">
        <v>3439</v>
      </c>
      <c r="C1720" s="23"/>
      <c r="D1720" s="23"/>
      <c r="E1720" s="23"/>
      <c r="F1720" s="42"/>
      <c r="G1720" s="42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</row>
    <row r="1721">
      <c r="A1721" s="22" t="s">
        <v>3440</v>
      </c>
      <c r="B1721" s="14" t="s">
        <v>3441</v>
      </c>
      <c r="C1721" s="23"/>
      <c r="D1721" s="23"/>
      <c r="E1721" s="23"/>
      <c r="F1721" s="42"/>
      <c r="G1721" s="42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</row>
    <row r="1722">
      <c r="A1722" s="18" t="s">
        <v>3442</v>
      </c>
      <c r="B1722" s="19" t="s">
        <v>3443</v>
      </c>
      <c r="C1722" s="23"/>
      <c r="D1722" s="23"/>
      <c r="E1722" s="23"/>
      <c r="F1722" s="42"/>
      <c r="G1722" s="42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</row>
    <row r="1723">
      <c r="A1723" s="22" t="s">
        <v>3444</v>
      </c>
      <c r="B1723" s="14" t="s">
        <v>3445</v>
      </c>
      <c r="C1723" s="23"/>
      <c r="D1723" s="23"/>
      <c r="E1723" s="23"/>
      <c r="F1723" s="42"/>
      <c r="G1723" s="42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</row>
    <row r="1724">
      <c r="A1724" s="18" t="s">
        <v>3446</v>
      </c>
      <c r="B1724" s="19" t="s">
        <v>3447</v>
      </c>
      <c r="C1724" s="23"/>
      <c r="D1724" s="23"/>
      <c r="E1724" s="23"/>
      <c r="F1724" s="42"/>
      <c r="G1724" s="42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</row>
    <row r="1725">
      <c r="A1725" s="13" t="s">
        <v>3448</v>
      </c>
      <c r="B1725" s="14" t="s">
        <v>3449</v>
      </c>
      <c r="C1725" s="23"/>
      <c r="D1725" s="23"/>
      <c r="E1725" s="23"/>
      <c r="F1725" s="42"/>
      <c r="G1725" s="42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</row>
    <row r="1726">
      <c r="A1726" s="18" t="s">
        <v>3450</v>
      </c>
      <c r="B1726" s="19" t="s">
        <v>3451</v>
      </c>
      <c r="C1726" s="23"/>
      <c r="D1726" s="23"/>
      <c r="E1726" s="23"/>
      <c r="F1726" s="42"/>
      <c r="G1726" s="42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</row>
    <row r="1727">
      <c r="A1727" s="13" t="s">
        <v>3452</v>
      </c>
      <c r="B1727" s="14" t="s">
        <v>3453</v>
      </c>
      <c r="C1727" s="23"/>
      <c r="D1727" s="23"/>
      <c r="E1727" s="23"/>
      <c r="F1727" s="42"/>
      <c r="G1727" s="42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</row>
    <row r="1728">
      <c r="A1728" s="25" t="s">
        <v>3454</v>
      </c>
      <c r="B1728" s="19" t="s">
        <v>3455</v>
      </c>
      <c r="C1728" s="23"/>
      <c r="D1728" s="23"/>
      <c r="E1728" s="23"/>
      <c r="F1728" s="42"/>
      <c r="G1728" s="42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</row>
    <row r="1729">
      <c r="A1729" s="22" t="s">
        <v>3456</v>
      </c>
      <c r="B1729" s="14" t="s">
        <v>3457</v>
      </c>
      <c r="C1729" s="23"/>
      <c r="D1729" s="23"/>
      <c r="E1729" s="23"/>
      <c r="F1729" s="42"/>
      <c r="G1729" s="42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</row>
    <row r="1730">
      <c r="A1730" s="18" t="s">
        <v>3458</v>
      </c>
      <c r="B1730" s="19" t="s">
        <v>3459</v>
      </c>
      <c r="C1730" s="23"/>
      <c r="D1730" s="23"/>
      <c r="E1730" s="23"/>
      <c r="F1730" s="42"/>
      <c r="G1730" s="42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</row>
    <row r="1731">
      <c r="A1731" s="22" t="s">
        <v>3460</v>
      </c>
      <c r="B1731" s="14" t="s">
        <v>3461</v>
      </c>
      <c r="C1731" s="23"/>
      <c r="D1731" s="23"/>
      <c r="E1731" s="23"/>
      <c r="F1731" s="42"/>
      <c r="G1731" s="42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</row>
    <row r="1732">
      <c r="A1732" s="18" t="s">
        <v>3462</v>
      </c>
      <c r="B1732" s="33" t="s">
        <v>3463</v>
      </c>
      <c r="C1732" s="23"/>
      <c r="D1732" s="23"/>
      <c r="E1732" s="23"/>
      <c r="F1732" s="42"/>
      <c r="G1732" s="42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</row>
    <row r="1733">
      <c r="A1733" s="22" t="s">
        <v>3464</v>
      </c>
      <c r="B1733" s="14" t="s">
        <v>3465</v>
      </c>
      <c r="C1733" s="23"/>
      <c r="D1733" s="23"/>
      <c r="E1733" s="23"/>
      <c r="F1733" s="42"/>
      <c r="G1733" s="42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</row>
    <row r="1734">
      <c r="A1734" s="25" t="s">
        <v>3466</v>
      </c>
      <c r="B1734" s="19" t="s">
        <v>3467</v>
      </c>
      <c r="C1734" s="23"/>
      <c r="D1734" s="23"/>
      <c r="E1734" s="23"/>
      <c r="F1734" s="42"/>
      <c r="G1734" s="42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</row>
    <row r="1735">
      <c r="A1735" s="13" t="s">
        <v>3468</v>
      </c>
      <c r="B1735" s="14" t="s">
        <v>3469</v>
      </c>
      <c r="C1735" s="23"/>
      <c r="D1735" s="23"/>
      <c r="E1735" s="23"/>
      <c r="F1735" s="42"/>
      <c r="G1735" s="42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</row>
    <row r="1736">
      <c r="A1736" s="18" t="s">
        <v>3470</v>
      </c>
      <c r="B1736" s="19" t="s">
        <v>3471</v>
      </c>
      <c r="C1736" s="23"/>
      <c r="D1736" s="23"/>
      <c r="E1736" s="23"/>
      <c r="F1736" s="42"/>
      <c r="G1736" s="42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</row>
    <row r="1737">
      <c r="A1737" s="22" t="s">
        <v>3472</v>
      </c>
      <c r="B1737" s="14" t="s">
        <v>3473</v>
      </c>
      <c r="C1737" s="23"/>
      <c r="D1737" s="23"/>
      <c r="E1737" s="23"/>
      <c r="F1737" s="42"/>
      <c r="G1737" s="42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</row>
    <row r="1738">
      <c r="A1738" s="18" t="s">
        <v>3474</v>
      </c>
      <c r="B1738" s="19" t="s">
        <v>3475</v>
      </c>
      <c r="C1738" s="23"/>
      <c r="D1738" s="23"/>
      <c r="E1738" s="23"/>
      <c r="F1738" s="42"/>
      <c r="G1738" s="42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</row>
    <row r="1739">
      <c r="A1739" s="13" t="s">
        <v>3476</v>
      </c>
      <c r="B1739" s="14" t="s">
        <v>3477</v>
      </c>
      <c r="C1739" s="23"/>
      <c r="D1739" s="23"/>
      <c r="E1739" s="23"/>
      <c r="F1739" s="42"/>
      <c r="G1739" s="42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</row>
    <row r="1740">
      <c r="A1740" s="18" t="s">
        <v>3478</v>
      </c>
      <c r="B1740" s="19" t="s">
        <v>3479</v>
      </c>
      <c r="C1740" s="23"/>
      <c r="D1740" s="23"/>
      <c r="E1740" s="23"/>
      <c r="F1740" s="42"/>
      <c r="G1740" s="42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</row>
    <row r="1741">
      <c r="A1741" s="13" t="s">
        <v>3480</v>
      </c>
      <c r="B1741" s="14" t="s">
        <v>3481</v>
      </c>
      <c r="C1741" s="23"/>
      <c r="D1741" s="23"/>
      <c r="E1741" s="23"/>
      <c r="F1741" s="42"/>
      <c r="G1741" s="42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</row>
    <row r="1742">
      <c r="A1742" s="18" t="s">
        <v>3482</v>
      </c>
      <c r="B1742" s="19" t="s">
        <v>3483</v>
      </c>
      <c r="C1742" s="23"/>
      <c r="D1742" s="23"/>
      <c r="E1742" s="23"/>
      <c r="F1742" s="42"/>
      <c r="G1742" s="42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</row>
    <row r="1743">
      <c r="A1743" s="13" t="s">
        <v>3484</v>
      </c>
      <c r="B1743" s="14" t="s">
        <v>3485</v>
      </c>
      <c r="C1743" s="23"/>
      <c r="D1743" s="23"/>
      <c r="E1743" s="23"/>
      <c r="F1743" s="42"/>
      <c r="G1743" s="42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</row>
    <row r="1744">
      <c r="A1744" s="25" t="s">
        <v>3486</v>
      </c>
      <c r="B1744" s="19" t="s">
        <v>3487</v>
      </c>
      <c r="C1744" s="23"/>
      <c r="D1744" s="23"/>
      <c r="E1744" s="23"/>
      <c r="F1744" s="42"/>
      <c r="G1744" s="42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</row>
    <row r="1745">
      <c r="A1745" s="13" t="s">
        <v>3488</v>
      </c>
      <c r="B1745" s="14" t="s">
        <v>3489</v>
      </c>
      <c r="C1745" s="23"/>
      <c r="D1745" s="23"/>
      <c r="E1745" s="23"/>
      <c r="F1745" s="42"/>
      <c r="G1745" s="42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</row>
    <row r="1746">
      <c r="A1746" s="18" t="s">
        <v>3490</v>
      </c>
      <c r="B1746" s="19" t="s">
        <v>3491</v>
      </c>
      <c r="C1746" s="23"/>
      <c r="D1746" s="23"/>
      <c r="E1746" s="23"/>
      <c r="F1746" s="42"/>
      <c r="G1746" s="42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</row>
    <row r="1747">
      <c r="A1747" s="13" t="s">
        <v>3492</v>
      </c>
      <c r="B1747" s="14" t="s">
        <v>3493</v>
      </c>
      <c r="C1747" s="23"/>
      <c r="D1747" s="23"/>
      <c r="E1747" s="23"/>
      <c r="F1747" s="42"/>
      <c r="G1747" s="42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</row>
    <row r="1748">
      <c r="A1748" s="25" t="s">
        <v>3494</v>
      </c>
      <c r="B1748" s="19" t="s">
        <v>3495</v>
      </c>
      <c r="C1748" s="23"/>
      <c r="D1748" s="23"/>
      <c r="E1748" s="23"/>
      <c r="F1748" s="42"/>
      <c r="G1748" s="42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</row>
    <row r="1749">
      <c r="A1749" s="22" t="s">
        <v>3496</v>
      </c>
      <c r="B1749" s="14" t="s">
        <v>3497</v>
      </c>
      <c r="C1749" s="23"/>
      <c r="D1749" s="23"/>
      <c r="E1749" s="23"/>
      <c r="F1749" s="42"/>
      <c r="G1749" s="42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</row>
    <row r="1750">
      <c r="A1750" s="18" t="s">
        <v>3498</v>
      </c>
      <c r="B1750" s="19" t="s">
        <v>3499</v>
      </c>
      <c r="C1750" s="23"/>
      <c r="D1750" s="23"/>
      <c r="E1750" s="23"/>
      <c r="F1750" s="42"/>
      <c r="G1750" s="42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</row>
    <row r="1751">
      <c r="A1751" s="13" t="s">
        <v>3500</v>
      </c>
      <c r="B1751" s="14" t="s">
        <v>3501</v>
      </c>
      <c r="C1751" s="23"/>
      <c r="D1751" s="23"/>
      <c r="E1751" s="23"/>
      <c r="F1751" s="42"/>
      <c r="G1751" s="42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</row>
    <row r="1752">
      <c r="A1752" s="25" t="s">
        <v>3502</v>
      </c>
      <c r="B1752" s="19" t="s">
        <v>3503</v>
      </c>
      <c r="C1752" s="23"/>
      <c r="D1752" s="23"/>
      <c r="E1752" s="23"/>
      <c r="F1752" s="42"/>
      <c r="G1752" s="42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</row>
    <row r="1753">
      <c r="A1753" s="13" t="s">
        <v>3504</v>
      </c>
      <c r="B1753" s="14" t="s">
        <v>3505</v>
      </c>
      <c r="C1753" s="23"/>
      <c r="D1753" s="23"/>
      <c r="E1753" s="23"/>
      <c r="F1753" s="42"/>
      <c r="G1753" s="42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</row>
    <row r="1754">
      <c r="A1754" s="18" t="s">
        <v>3506</v>
      </c>
      <c r="B1754" s="33" t="s">
        <v>3507</v>
      </c>
      <c r="C1754" s="23"/>
      <c r="D1754" s="23"/>
      <c r="E1754" s="23"/>
      <c r="F1754" s="42"/>
      <c r="G1754" s="42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</row>
    <row r="1755">
      <c r="A1755" s="22" t="s">
        <v>3508</v>
      </c>
      <c r="B1755" s="14" t="s">
        <v>3509</v>
      </c>
      <c r="C1755" s="23"/>
      <c r="D1755" s="23"/>
      <c r="E1755" s="23"/>
      <c r="F1755" s="42"/>
      <c r="G1755" s="42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</row>
    <row r="1756">
      <c r="A1756" s="25" t="s">
        <v>3510</v>
      </c>
      <c r="B1756" s="19" t="s">
        <v>3511</v>
      </c>
      <c r="C1756" s="23"/>
      <c r="D1756" s="23"/>
      <c r="E1756" s="23"/>
      <c r="F1756" s="42"/>
      <c r="G1756" s="42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</row>
    <row r="1757">
      <c r="A1757" s="22" t="s">
        <v>3512</v>
      </c>
      <c r="B1757" s="14" t="s">
        <v>3513</v>
      </c>
      <c r="C1757" s="23"/>
      <c r="D1757" s="23"/>
      <c r="E1757" s="23"/>
      <c r="F1757" s="42"/>
      <c r="G1757" s="42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</row>
    <row r="1758">
      <c r="A1758" s="18" t="s">
        <v>3514</v>
      </c>
      <c r="B1758" s="33" t="s">
        <v>3515</v>
      </c>
      <c r="C1758" s="23"/>
      <c r="D1758" s="23"/>
      <c r="E1758" s="23"/>
      <c r="F1758" s="42"/>
      <c r="G1758" s="42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</row>
    <row r="1759">
      <c r="A1759" s="22" t="s">
        <v>3516</v>
      </c>
      <c r="B1759" s="14" t="s">
        <v>3517</v>
      </c>
      <c r="C1759" s="23"/>
      <c r="D1759" s="23"/>
      <c r="E1759" s="23"/>
      <c r="F1759" s="42"/>
      <c r="G1759" s="42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</row>
    <row r="1760">
      <c r="A1760" s="25" t="s">
        <v>3518</v>
      </c>
      <c r="B1760" s="19" t="s">
        <v>3519</v>
      </c>
      <c r="C1760" s="23"/>
      <c r="D1760" s="23"/>
      <c r="E1760" s="23"/>
      <c r="F1760" s="42"/>
      <c r="G1760" s="42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</row>
    <row r="1761">
      <c r="A1761" s="13" t="s">
        <v>3520</v>
      </c>
      <c r="B1761" s="14" t="s">
        <v>3521</v>
      </c>
      <c r="C1761" s="23"/>
      <c r="D1761" s="23"/>
      <c r="E1761" s="23"/>
      <c r="F1761" s="42"/>
      <c r="G1761" s="42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</row>
    <row r="1762">
      <c r="A1762" s="25" t="s">
        <v>3522</v>
      </c>
      <c r="B1762" s="19" t="s">
        <v>3523</v>
      </c>
      <c r="C1762" s="23"/>
      <c r="D1762" s="23"/>
      <c r="E1762" s="23"/>
      <c r="F1762" s="42"/>
      <c r="G1762" s="42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</row>
    <row r="1763">
      <c r="A1763" s="22" t="s">
        <v>3524</v>
      </c>
      <c r="B1763" s="14" t="s">
        <v>3525</v>
      </c>
      <c r="C1763" s="23"/>
      <c r="D1763" s="23"/>
      <c r="E1763" s="23"/>
      <c r="F1763" s="42"/>
      <c r="G1763" s="42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</row>
    <row r="1764">
      <c r="A1764" s="18" t="s">
        <v>3526</v>
      </c>
      <c r="B1764" s="19" t="s">
        <v>3527</v>
      </c>
      <c r="C1764" s="23"/>
      <c r="D1764" s="23"/>
      <c r="E1764" s="23"/>
      <c r="F1764" s="42"/>
      <c r="G1764" s="42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</row>
    <row r="1765">
      <c r="A1765" s="22" t="s">
        <v>3528</v>
      </c>
      <c r="B1765" s="14" t="s">
        <v>3529</v>
      </c>
      <c r="C1765" s="23"/>
      <c r="D1765" s="23"/>
      <c r="E1765" s="23"/>
      <c r="F1765" s="42"/>
      <c r="G1765" s="42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</row>
    <row r="1766">
      <c r="A1766" s="18" t="s">
        <v>3530</v>
      </c>
      <c r="B1766" s="19" t="s">
        <v>3531</v>
      </c>
      <c r="C1766" s="23"/>
      <c r="D1766" s="23"/>
      <c r="E1766" s="23"/>
      <c r="F1766" s="42"/>
      <c r="G1766" s="42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</row>
    <row r="1767">
      <c r="A1767" s="44" t="s">
        <v>3532</v>
      </c>
      <c r="B1767" s="45" t="s">
        <v>3533</v>
      </c>
      <c r="C1767" s="23"/>
      <c r="D1767" s="23"/>
      <c r="E1767" s="23"/>
      <c r="F1767" s="42"/>
      <c r="G1767" s="42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</row>
    <row r="1768">
      <c r="A1768" s="18" t="s">
        <v>3534</v>
      </c>
      <c r="B1768" s="19" t="s">
        <v>3535</v>
      </c>
      <c r="C1768" s="23"/>
      <c r="D1768" s="23"/>
      <c r="E1768" s="23"/>
      <c r="F1768" s="42"/>
      <c r="G1768" s="42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</row>
    <row r="1769">
      <c r="A1769" s="13" t="s">
        <v>3536</v>
      </c>
      <c r="B1769" s="14" t="s">
        <v>3537</v>
      </c>
      <c r="C1769" s="23"/>
      <c r="D1769" s="23"/>
      <c r="E1769" s="23"/>
      <c r="F1769" s="42"/>
      <c r="G1769" s="42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</row>
    <row r="1770">
      <c r="A1770" s="18" t="s">
        <v>3538</v>
      </c>
      <c r="B1770" s="33" t="s">
        <v>3539</v>
      </c>
      <c r="C1770" s="23"/>
      <c r="D1770" s="23"/>
      <c r="E1770" s="23"/>
      <c r="F1770" s="42"/>
      <c r="G1770" s="42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</row>
    <row r="1771">
      <c r="A1771" s="13" t="s">
        <v>3540</v>
      </c>
      <c r="B1771" s="14" t="s">
        <v>3541</v>
      </c>
      <c r="C1771" s="23"/>
      <c r="D1771" s="23"/>
      <c r="E1771" s="23"/>
      <c r="F1771" s="42"/>
      <c r="G1771" s="42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</row>
    <row r="1772">
      <c r="A1772" s="25" t="s">
        <v>3542</v>
      </c>
      <c r="B1772" s="19" t="s">
        <v>3543</v>
      </c>
      <c r="C1772" s="23"/>
      <c r="D1772" s="23"/>
      <c r="E1772" s="23"/>
      <c r="F1772" s="42"/>
      <c r="G1772" s="42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</row>
    <row r="1773">
      <c r="A1773" s="13" t="s">
        <v>3544</v>
      </c>
      <c r="B1773" s="14" t="s">
        <v>3545</v>
      </c>
      <c r="C1773" s="23"/>
      <c r="D1773" s="23"/>
      <c r="E1773" s="23"/>
      <c r="F1773" s="42"/>
      <c r="G1773" s="42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</row>
    <row r="1774">
      <c r="A1774" s="18" t="s">
        <v>3546</v>
      </c>
      <c r="B1774" s="19" t="s">
        <v>3547</v>
      </c>
      <c r="C1774" s="23"/>
      <c r="D1774" s="23"/>
      <c r="E1774" s="23"/>
      <c r="F1774" s="42"/>
      <c r="G1774" s="42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</row>
    <row r="1775">
      <c r="A1775" s="22" t="s">
        <v>3548</v>
      </c>
      <c r="B1775" s="14" t="s">
        <v>3549</v>
      </c>
      <c r="C1775" s="23"/>
      <c r="D1775" s="23"/>
      <c r="E1775" s="23"/>
      <c r="F1775" s="42"/>
      <c r="G1775" s="42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</row>
    <row r="1776">
      <c r="A1776" s="18" t="s">
        <v>3550</v>
      </c>
      <c r="B1776" s="19" t="s">
        <v>3551</v>
      </c>
      <c r="C1776" s="23"/>
      <c r="D1776" s="23"/>
      <c r="E1776" s="23"/>
      <c r="F1776" s="42"/>
      <c r="G1776" s="42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</row>
    <row r="1777">
      <c r="A1777" s="13" t="s">
        <v>3552</v>
      </c>
      <c r="B1777" s="14" t="s">
        <v>3553</v>
      </c>
      <c r="C1777" s="23"/>
      <c r="D1777" s="23"/>
      <c r="E1777" s="23"/>
      <c r="F1777" s="42"/>
      <c r="G1777" s="42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</row>
    <row r="1778">
      <c r="A1778" s="25" t="s">
        <v>3554</v>
      </c>
      <c r="B1778" s="19" t="s">
        <v>3555</v>
      </c>
      <c r="C1778" s="23"/>
      <c r="D1778" s="23"/>
      <c r="E1778" s="23"/>
      <c r="F1778" s="42"/>
      <c r="G1778" s="42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</row>
    <row r="1779">
      <c r="A1779" s="13" t="s">
        <v>3556</v>
      </c>
      <c r="B1779" s="14" t="s">
        <v>3557</v>
      </c>
      <c r="C1779" s="23"/>
      <c r="D1779" s="23"/>
      <c r="E1779" s="23"/>
      <c r="F1779" s="42"/>
      <c r="G1779" s="42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</row>
    <row r="1780">
      <c r="A1780" s="25" t="s">
        <v>3558</v>
      </c>
      <c r="B1780" s="19" t="s">
        <v>3559</v>
      </c>
      <c r="C1780" s="23"/>
      <c r="D1780" s="23"/>
      <c r="E1780" s="23"/>
      <c r="F1780" s="42"/>
      <c r="G1780" s="42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</row>
    <row r="1781">
      <c r="A1781" s="22" t="s">
        <v>3560</v>
      </c>
      <c r="B1781" s="14" t="s">
        <v>3561</v>
      </c>
      <c r="C1781" s="23"/>
      <c r="D1781" s="23"/>
      <c r="E1781" s="23"/>
      <c r="F1781" s="42"/>
      <c r="G1781" s="42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</row>
    <row r="1782">
      <c r="A1782" s="25" t="s">
        <v>3562</v>
      </c>
      <c r="B1782" s="19" t="s">
        <v>3563</v>
      </c>
      <c r="C1782" s="23"/>
      <c r="D1782" s="23"/>
      <c r="E1782" s="23"/>
      <c r="F1782" s="42"/>
      <c r="G1782" s="42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</row>
    <row r="1783">
      <c r="A1783" s="13" t="s">
        <v>3564</v>
      </c>
      <c r="B1783" s="14" t="s">
        <v>3565</v>
      </c>
      <c r="C1783" s="23"/>
      <c r="D1783" s="23"/>
      <c r="E1783" s="23"/>
      <c r="F1783" s="42"/>
      <c r="G1783" s="42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</row>
    <row r="1784">
      <c r="A1784" s="18" t="s">
        <v>3566</v>
      </c>
      <c r="B1784" s="19" t="s">
        <v>3567</v>
      </c>
      <c r="C1784" s="23"/>
      <c r="D1784" s="23"/>
      <c r="E1784" s="23"/>
      <c r="F1784" s="42"/>
      <c r="G1784" s="42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</row>
    <row r="1785">
      <c r="A1785" s="22" t="s">
        <v>3568</v>
      </c>
      <c r="B1785" s="14" t="s">
        <v>3569</v>
      </c>
      <c r="C1785" s="23"/>
      <c r="D1785" s="23"/>
      <c r="E1785" s="23"/>
      <c r="F1785" s="42"/>
      <c r="G1785" s="42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</row>
    <row r="1786">
      <c r="A1786" s="18" t="s">
        <v>3570</v>
      </c>
      <c r="B1786" s="19" t="s">
        <v>3571</v>
      </c>
      <c r="C1786" s="23"/>
      <c r="D1786" s="23"/>
      <c r="E1786" s="23"/>
      <c r="F1786" s="42"/>
      <c r="G1786" s="42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</row>
    <row r="1787">
      <c r="A1787" s="22" t="s">
        <v>3572</v>
      </c>
      <c r="B1787" s="14" t="s">
        <v>3573</v>
      </c>
      <c r="C1787" s="23"/>
      <c r="D1787" s="23"/>
      <c r="E1787" s="23"/>
      <c r="F1787" s="42"/>
      <c r="G1787" s="42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</row>
    <row r="1788">
      <c r="A1788" s="18" t="s">
        <v>3574</v>
      </c>
      <c r="B1788" s="19" t="s">
        <v>3575</v>
      </c>
      <c r="C1788" s="23"/>
      <c r="D1788" s="23"/>
      <c r="E1788" s="23"/>
      <c r="F1788" s="42"/>
      <c r="G1788" s="42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</row>
    <row r="1789">
      <c r="A1789" s="13" t="s">
        <v>3576</v>
      </c>
      <c r="B1789" s="14" t="s">
        <v>3577</v>
      </c>
      <c r="C1789" s="23"/>
      <c r="D1789" s="23"/>
      <c r="E1789" s="23"/>
      <c r="F1789" s="42"/>
      <c r="G1789" s="42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</row>
    <row r="1790">
      <c r="A1790" s="25" t="s">
        <v>3578</v>
      </c>
      <c r="B1790" s="19" t="s">
        <v>3579</v>
      </c>
      <c r="C1790" s="23"/>
      <c r="D1790" s="23"/>
      <c r="E1790" s="23"/>
      <c r="F1790" s="42"/>
      <c r="G1790" s="42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</row>
    <row r="1791">
      <c r="A1791" s="13" t="s">
        <v>3580</v>
      </c>
      <c r="B1791" s="14" t="s">
        <v>3581</v>
      </c>
      <c r="C1791" s="23"/>
      <c r="D1791" s="23"/>
      <c r="E1791" s="23"/>
      <c r="F1791" s="42"/>
      <c r="G1791" s="42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</row>
    <row r="1792">
      <c r="A1792" s="25" t="s">
        <v>3582</v>
      </c>
      <c r="B1792" s="19" t="s">
        <v>3583</v>
      </c>
      <c r="C1792" s="23"/>
      <c r="D1792" s="23"/>
      <c r="E1792" s="23"/>
      <c r="F1792" s="42"/>
      <c r="G1792" s="42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</row>
    <row r="1793">
      <c r="A1793" s="13" t="s">
        <v>3584</v>
      </c>
      <c r="B1793" s="14" t="s">
        <v>3585</v>
      </c>
      <c r="C1793" s="23"/>
      <c r="D1793" s="23"/>
      <c r="E1793" s="23"/>
      <c r="F1793" s="42"/>
      <c r="G1793" s="42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</row>
    <row r="1794">
      <c r="A1794" s="25" t="s">
        <v>3586</v>
      </c>
      <c r="B1794" s="19" t="s">
        <v>3587</v>
      </c>
      <c r="C1794" s="23"/>
      <c r="D1794" s="23"/>
      <c r="E1794" s="23"/>
      <c r="F1794" s="42"/>
      <c r="G1794" s="42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</row>
    <row r="1795">
      <c r="A1795" s="13" t="s">
        <v>3588</v>
      </c>
      <c r="B1795" s="14" t="s">
        <v>3589</v>
      </c>
      <c r="C1795" s="23"/>
      <c r="D1795" s="23"/>
      <c r="E1795" s="23"/>
      <c r="F1795" s="42"/>
      <c r="G1795" s="42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</row>
    <row r="1796">
      <c r="A1796" s="18" t="s">
        <v>3590</v>
      </c>
      <c r="B1796" s="19" t="s">
        <v>3591</v>
      </c>
      <c r="C1796" s="23"/>
      <c r="D1796" s="23"/>
      <c r="E1796" s="23"/>
      <c r="F1796" s="42"/>
      <c r="G1796" s="42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</row>
    <row r="1797">
      <c r="A1797" s="13" t="s">
        <v>3592</v>
      </c>
      <c r="B1797" s="14" t="s">
        <v>3593</v>
      </c>
      <c r="C1797" s="23"/>
      <c r="D1797" s="23"/>
      <c r="E1797" s="23"/>
      <c r="F1797" s="42"/>
      <c r="G1797" s="42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</row>
    <row r="1798">
      <c r="A1798" s="25" t="s">
        <v>3594</v>
      </c>
      <c r="B1798" s="19" t="s">
        <v>3595</v>
      </c>
      <c r="C1798" s="23"/>
      <c r="D1798" s="23"/>
      <c r="E1798" s="23"/>
      <c r="F1798" s="42"/>
      <c r="G1798" s="42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</row>
    <row r="1799">
      <c r="A1799" s="13" t="s">
        <v>3596</v>
      </c>
      <c r="B1799" s="14" t="s">
        <v>3597</v>
      </c>
      <c r="C1799" s="23"/>
      <c r="D1799" s="23"/>
      <c r="E1799" s="23"/>
      <c r="F1799" s="42"/>
      <c r="G1799" s="42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</row>
    <row r="1800">
      <c r="A1800" s="25" t="s">
        <v>3598</v>
      </c>
      <c r="B1800" s="19" t="s">
        <v>3599</v>
      </c>
      <c r="C1800" s="23"/>
      <c r="D1800" s="23"/>
      <c r="E1800" s="23"/>
      <c r="F1800" s="42"/>
      <c r="G1800" s="42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</row>
    <row r="1801">
      <c r="A1801" s="22" t="s">
        <v>3600</v>
      </c>
      <c r="B1801" s="14" t="s">
        <v>3601</v>
      </c>
      <c r="C1801" s="23"/>
      <c r="D1801" s="23"/>
      <c r="E1801" s="23"/>
      <c r="F1801" s="42"/>
      <c r="G1801" s="42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</row>
    <row r="1802">
      <c r="A1802" s="25" t="s">
        <v>3602</v>
      </c>
      <c r="B1802" s="19" t="s">
        <v>3603</v>
      </c>
      <c r="C1802" s="23"/>
      <c r="D1802" s="23"/>
      <c r="E1802" s="23"/>
      <c r="F1802" s="42"/>
      <c r="G1802" s="42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</row>
    <row r="1803">
      <c r="A1803" s="22" t="s">
        <v>3604</v>
      </c>
      <c r="B1803" s="14" t="s">
        <v>3605</v>
      </c>
      <c r="C1803" s="23"/>
      <c r="D1803" s="23"/>
      <c r="E1803" s="23"/>
      <c r="F1803" s="42"/>
      <c r="G1803" s="42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</row>
    <row r="1804">
      <c r="A1804" s="18" t="s">
        <v>3606</v>
      </c>
      <c r="B1804" s="19" t="s">
        <v>3607</v>
      </c>
      <c r="C1804" s="23"/>
      <c r="D1804" s="23"/>
      <c r="E1804" s="23"/>
      <c r="F1804" s="42"/>
      <c r="G1804" s="42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</row>
    <row r="1805">
      <c r="A1805" s="13" t="s">
        <v>3608</v>
      </c>
      <c r="B1805" s="14" t="s">
        <v>3609</v>
      </c>
      <c r="C1805" s="23"/>
      <c r="D1805" s="23"/>
      <c r="E1805" s="23"/>
      <c r="F1805" s="42"/>
      <c r="G1805" s="42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</row>
    <row r="1806">
      <c r="A1806" s="18" t="s">
        <v>3610</v>
      </c>
      <c r="B1806" s="19" t="s">
        <v>3611</v>
      </c>
      <c r="C1806" s="23"/>
      <c r="D1806" s="23"/>
      <c r="E1806" s="23"/>
      <c r="F1806" s="42"/>
      <c r="G1806" s="42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</row>
    <row r="1807">
      <c r="A1807" s="13" t="s">
        <v>3612</v>
      </c>
      <c r="B1807" s="14" t="s">
        <v>3613</v>
      </c>
      <c r="C1807" s="23"/>
      <c r="D1807" s="23"/>
      <c r="E1807" s="23"/>
      <c r="F1807" s="42"/>
      <c r="G1807" s="42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</row>
    <row r="1808">
      <c r="A1808" s="47" t="s">
        <v>3614</v>
      </c>
      <c r="B1808" s="19" t="s">
        <v>3615</v>
      </c>
      <c r="C1808" s="23"/>
      <c r="D1808" s="23"/>
      <c r="E1808" s="23"/>
      <c r="F1808" s="42"/>
      <c r="G1808" s="42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</row>
    <row r="1809">
      <c r="A1809" s="22" t="s">
        <v>3616</v>
      </c>
      <c r="B1809" s="14" t="s">
        <v>3617</v>
      </c>
      <c r="C1809" s="23"/>
      <c r="D1809" s="23"/>
      <c r="E1809" s="23"/>
      <c r="F1809" s="42"/>
      <c r="G1809" s="42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</row>
    <row r="1810">
      <c r="A1810" s="25" t="s">
        <v>3618</v>
      </c>
      <c r="B1810" s="19" t="s">
        <v>3619</v>
      </c>
      <c r="C1810" s="23"/>
      <c r="D1810" s="23"/>
      <c r="E1810" s="23"/>
      <c r="F1810" s="42"/>
      <c r="G1810" s="42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</row>
    <row r="1811">
      <c r="A1811" s="13" t="s">
        <v>3620</v>
      </c>
      <c r="B1811" s="14" t="s">
        <v>3621</v>
      </c>
      <c r="C1811" s="23"/>
      <c r="D1811" s="23"/>
      <c r="E1811" s="23"/>
      <c r="F1811" s="42"/>
      <c r="G1811" s="42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</row>
    <row r="1812">
      <c r="A1812" s="18" t="s">
        <v>3622</v>
      </c>
      <c r="B1812" s="19" t="s">
        <v>3623</v>
      </c>
      <c r="C1812" s="23"/>
      <c r="D1812" s="23"/>
      <c r="E1812" s="23"/>
      <c r="F1812" s="42"/>
      <c r="G1812" s="42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</row>
    <row r="1813">
      <c r="A1813" s="22" t="s">
        <v>3624</v>
      </c>
      <c r="B1813" s="14" t="s">
        <v>3625</v>
      </c>
      <c r="C1813" s="23"/>
      <c r="D1813" s="23"/>
      <c r="E1813" s="23"/>
      <c r="F1813" s="42"/>
      <c r="G1813" s="42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</row>
    <row r="1814">
      <c r="A1814" s="18" t="s">
        <v>3626</v>
      </c>
      <c r="B1814" s="19" t="s">
        <v>3627</v>
      </c>
      <c r="C1814" s="23"/>
      <c r="D1814" s="23"/>
      <c r="E1814" s="23"/>
      <c r="F1814" s="42"/>
      <c r="G1814" s="42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</row>
    <row r="1815">
      <c r="A1815" s="44" t="s">
        <v>3628</v>
      </c>
      <c r="B1815" s="45" t="s">
        <v>3629</v>
      </c>
      <c r="C1815" s="23"/>
      <c r="D1815" s="23"/>
      <c r="E1815" s="23"/>
      <c r="F1815" s="42"/>
      <c r="G1815" s="42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</row>
    <row r="1816">
      <c r="A1816" s="9" t="s">
        <v>3630</v>
      </c>
      <c r="B1816" s="10" t="s">
        <v>3631</v>
      </c>
      <c r="C1816" s="23"/>
      <c r="D1816" s="23"/>
      <c r="E1816" s="23"/>
      <c r="F1816" s="42"/>
      <c r="G1816" s="42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</row>
    <row r="1817">
      <c r="A1817" s="13" t="s">
        <v>3632</v>
      </c>
      <c r="B1817" s="14" t="s">
        <v>3633</v>
      </c>
      <c r="C1817" s="23"/>
      <c r="D1817" s="23"/>
      <c r="E1817" s="23"/>
      <c r="F1817" s="42"/>
      <c r="G1817" s="42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</row>
    <row r="1818">
      <c r="A1818" s="18" t="s">
        <v>3634</v>
      </c>
      <c r="B1818" s="19" t="s">
        <v>3635</v>
      </c>
      <c r="C1818" s="23"/>
      <c r="D1818" s="23"/>
      <c r="E1818" s="23"/>
      <c r="F1818" s="42"/>
      <c r="G1818" s="42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</row>
    <row r="1819">
      <c r="A1819" s="13" t="s">
        <v>3636</v>
      </c>
      <c r="B1819" s="14" t="s">
        <v>3637</v>
      </c>
      <c r="C1819" s="23"/>
      <c r="D1819" s="23"/>
      <c r="E1819" s="23"/>
      <c r="F1819" s="42"/>
      <c r="G1819" s="42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</row>
    <row r="1820">
      <c r="A1820" s="18" t="s">
        <v>3638</v>
      </c>
      <c r="B1820" s="33" t="s">
        <v>3639</v>
      </c>
      <c r="C1820" s="23"/>
      <c r="D1820" s="23"/>
      <c r="E1820" s="23"/>
      <c r="F1820" s="42"/>
      <c r="G1820" s="42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</row>
    <row r="1821">
      <c r="A1821" s="13" t="s">
        <v>3640</v>
      </c>
      <c r="B1821" s="14" t="s">
        <v>3641</v>
      </c>
      <c r="C1821" s="23"/>
      <c r="D1821" s="23"/>
      <c r="E1821" s="23"/>
      <c r="F1821" s="42"/>
      <c r="G1821" s="42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</row>
    <row r="1822">
      <c r="A1822" s="25" t="s">
        <v>3642</v>
      </c>
      <c r="B1822" s="19" t="s">
        <v>3643</v>
      </c>
      <c r="C1822" s="23"/>
      <c r="D1822" s="23"/>
      <c r="E1822" s="23"/>
      <c r="F1822" s="42"/>
      <c r="G1822" s="42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</row>
    <row r="1823">
      <c r="A1823" s="22" t="s">
        <v>3644</v>
      </c>
      <c r="B1823" s="14" t="s">
        <v>3645</v>
      </c>
      <c r="C1823" s="23"/>
      <c r="D1823" s="23"/>
      <c r="E1823" s="23"/>
      <c r="F1823" s="42"/>
      <c r="G1823" s="42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</row>
    <row r="1824">
      <c r="A1824" s="18" t="s">
        <v>3646</v>
      </c>
      <c r="B1824" s="19" t="s">
        <v>3647</v>
      </c>
      <c r="C1824" s="23"/>
      <c r="D1824" s="23"/>
      <c r="E1824" s="23"/>
      <c r="F1824" s="42"/>
      <c r="G1824" s="42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</row>
    <row r="1825">
      <c r="A1825" s="22" t="s">
        <v>3648</v>
      </c>
      <c r="B1825" s="14" t="s">
        <v>3649</v>
      </c>
      <c r="C1825" s="23"/>
      <c r="D1825" s="23"/>
      <c r="E1825" s="23"/>
      <c r="F1825" s="42"/>
      <c r="G1825" s="42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</row>
    <row r="1826">
      <c r="A1826" s="18" t="s">
        <v>3650</v>
      </c>
      <c r="B1826" s="33" t="s">
        <v>3651</v>
      </c>
      <c r="C1826" s="23"/>
      <c r="D1826" s="23"/>
      <c r="E1826" s="23"/>
      <c r="F1826" s="42"/>
      <c r="G1826" s="42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</row>
    <row r="1827">
      <c r="A1827" s="22" t="s">
        <v>3652</v>
      </c>
      <c r="B1827" s="14" t="s">
        <v>3653</v>
      </c>
      <c r="C1827" s="23"/>
      <c r="D1827" s="23"/>
      <c r="E1827" s="23"/>
      <c r="F1827" s="42"/>
      <c r="G1827" s="42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</row>
    <row r="1828">
      <c r="A1828" s="18" t="s">
        <v>3654</v>
      </c>
      <c r="B1828" s="19" t="s">
        <v>3655</v>
      </c>
      <c r="C1828" s="23"/>
      <c r="D1828" s="23"/>
      <c r="E1828" s="23"/>
      <c r="F1828" s="42"/>
      <c r="G1828" s="42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</row>
    <row r="1829">
      <c r="A1829" s="13" t="s">
        <v>3656</v>
      </c>
      <c r="B1829" s="14" t="s">
        <v>3657</v>
      </c>
      <c r="C1829" s="23"/>
      <c r="D1829" s="23"/>
      <c r="E1829" s="23"/>
      <c r="F1829" s="42"/>
      <c r="G1829" s="42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</row>
    <row r="1830">
      <c r="A1830" s="18" t="s">
        <v>3658</v>
      </c>
      <c r="B1830" s="19" t="s">
        <v>3659</v>
      </c>
      <c r="C1830" s="23"/>
      <c r="D1830" s="23"/>
      <c r="E1830" s="23"/>
      <c r="F1830" s="42"/>
      <c r="G1830" s="42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</row>
    <row r="1831">
      <c r="A1831" s="13" t="s">
        <v>3660</v>
      </c>
      <c r="B1831" s="14" t="s">
        <v>3661</v>
      </c>
      <c r="C1831" s="23"/>
      <c r="D1831" s="23"/>
      <c r="E1831" s="23"/>
      <c r="F1831" s="42"/>
      <c r="G1831" s="42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</row>
    <row r="1832">
      <c r="A1832" s="25" t="s">
        <v>3662</v>
      </c>
      <c r="B1832" s="19" t="s">
        <v>3663</v>
      </c>
      <c r="C1832" s="23"/>
      <c r="D1832" s="23"/>
      <c r="E1832" s="23"/>
      <c r="F1832" s="42"/>
      <c r="G1832" s="42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</row>
    <row r="1833">
      <c r="A1833" s="22" t="s">
        <v>3664</v>
      </c>
      <c r="B1833" s="14" t="s">
        <v>3665</v>
      </c>
      <c r="C1833" s="23"/>
      <c r="D1833" s="23"/>
      <c r="E1833" s="23"/>
      <c r="F1833" s="42"/>
      <c r="G1833" s="42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</row>
    <row r="1834">
      <c r="A1834" s="9" t="s">
        <v>3666</v>
      </c>
      <c r="B1834" s="10" t="s">
        <v>3667</v>
      </c>
      <c r="C1834" s="23"/>
      <c r="D1834" s="23"/>
      <c r="E1834" s="23"/>
      <c r="F1834" s="42"/>
      <c r="G1834" s="42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</row>
    <row r="1835">
      <c r="A1835" s="22" t="s">
        <v>3668</v>
      </c>
      <c r="B1835" s="14" t="s">
        <v>3669</v>
      </c>
      <c r="C1835" s="23"/>
      <c r="D1835" s="23"/>
      <c r="E1835" s="23"/>
      <c r="F1835" s="42"/>
      <c r="G1835" s="42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</row>
    <row r="1836">
      <c r="A1836" s="25" t="s">
        <v>3670</v>
      </c>
      <c r="B1836" s="19" t="s">
        <v>3671</v>
      </c>
      <c r="C1836" s="23"/>
      <c r="D1836" s="23"/>
      <c r="E1836" s="23"/>
      <c r="F1836" s="42"/>
      <c r="G1836" s="42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</row>
    <row r="1837">
      <c r="A1837" s="22" t="s">
        <v>3672</v>
      </c>
      <c r="B1837" s="14" t="s">
        <v>3673</v>
      </c>
      <c r="C1837" s="23"/>
      <c r="D1837" s="23"/>
      <c r="E1837" s="23"/>
      <c r="F1837" s="42"/>
      <c r="G1837" s="42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</row>
    <row r="1838">
      <c r="A1838" s="18" t="s">
        <v>3674</v>
      </c>
      <c r="B1838" s="19" t="s">
        <v>3675</v>
      </c>
      <c r="C1838" s="23"/>
      <c r="D1838" s="23"/>
      <c r="E1838" s="23"/>
      <c r="F1838" s="42"/>
      <c r="G1838" s="42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</row>
    <row r="1839">
      <c r="A1839" s="13" t="s">
        <v>3676</v>
      </c>
      <c r="B1839" s="14" t="s">
        <v>3677</v>
      </c>
      <c r="C1839" s="23"/>
      <c r="D1839" s="23"/>
      <c r="E1839" s="23"/>
      <c r="F1839" s="42"/>
      <c r="G1839" s="42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</row>
    <row r="1840">
      <c r="A1840" s="25" t="s">
        <v>3678</v>
      </c>
      <c r="B1840" s="19" t="s">
        <v>3679</v>
      </c>
      <c r="C1840" s="23"/>
      <c r="D1840" s="23"/>
      <c r="E1840" s="23"/>
      <c r="F1840" s="42"/>
      <c r="G1840" s="42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</row>
    <row r="1841">
      <c r="A1841" s="13" t="s">
        <v>3680</v>
      </c>
      <c r="B1841" s="14" t="s">
        <v>3681</v>
      </c>
      <c r="C1841" s="23"/>
      <c r="D1841" s="23"/>
      <c r="E1841" s="23"/>
      <c r="F1841" s="42"/>
      <c r="G1841" s="42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</row>
    <row r="1842">
      <c r="A1842" s="18" t="s">
        <v>3682</v>
      </c>
      <c r="B1842" s="19" t="s">
        <v>3683</v>
      </c>
      <c r="C1842" s="23"/>
      <c r="D1842" s="23"/>
      <c r="E1842" s="23"/>
      <c r="F1842" s="42"/>
      <c r="G1842" s="42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</row>
    <row r="1843">
      <c r="A1843" s="13" t="s">
        <v>3684</v>
      </c>
      <c r="B1843" s="14" t="s">
        <v>3685</v>
      </c>
      <c r="C1843" s="23"/>
      <c r="D1843" s="23"/>
      <c r="E1843" s="23"/>
      <c r="F1843" s="42"/>
      <c r="G1843" s="42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</row>
    <row r="1844">
      <c r="A1844" s="25" t="s">
        <v>3686</v>
      </c>
      <c r="B1844" s="19" t="s">
        <v>3687</v>
      </c>
      <c r="C1844" s="23"/>
      <c r="D1844" s="23"/>
      <c r="E1844" s="23"/>
      <c r="F1844" s="42"/>
      <c r="G1844" s="42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</row>
    <row r="1845">
      <c r="A1845" s="13" t="s">
        <v>3688</v>
      </c>
      <c r="B1845" s="26" t="s">
        <v>3689</v>
      </c>
      <c r="C1845" s="23"/>
      <c r="D1845" s="23"/>
      <c r="E1845" s="23"/>
      <c r="F1845" s="42"/>
      <c r="G1845" s="42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</row>
    <row r="1846">
      <c r="A1846" s="18" t="s">
        <v>3690</v>
      </c>
      <c r="B1846" s="19" t="s">
        <v>3691</v>
      </c>
      <c r="C1846" s="23"/>
      <c r="D1846" s="23"/>
      <c r="E1846" s="23"/>
      <c r="F1846" s="42"/>
      <c r="G1846" s="42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</row>
    <row r="1847">
      <c r="A1847" s="13" t="s">
        <v>3692</v>
      </c>
      <c r="B1847" s="14" t="s">
        <v>3693</v>
      </c>
      <c r="C1847" s="23"/>
      <c r="D1847" s="23"/>
      <c r="E1847" s="23"/>
      <c r="F1847" s="42"/>
      <c r="G1847" s="42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</row>
    <row r="1848">
      <c r="A1848" s="18" t="s">
        <v>3694</v>
      </c>
      <c r="B1848" s="19" t="s">
        <v>3695</v>
      </c>
      <c r="C1848" s="23"/>
      <c r="D1848" s="23"/>
      <c r="E1848" s="23"/>
      <c r="F1848" s="42"/>
      <c r="G1848" s="42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</row>
    <row r="1849">
      <c r="A1849" s="13" t="s">
        <v>3696</v>
      </c>
      <c r="B1849" s="14" t="s">
        <v>3697</v>
      </c>
      <c r="C1849" s="23"/>
      <c r="D1849" s="23"/>
      <c r="E1849" s="23"/>
      <c r="F1849" s="42"/>
      <c r="G1849" s="42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</row>
    <row r="1850">
      <c r="A1850" s="18" t="s">
        <v>3698</v>
      </c>
      <c r="B1850" s="19" t="s">
        <v>3699</v>
      </c>
      <c r="C1850" s="23"/>
      <c r="D1850" s="23"/>
      <c r="E1850" s="23"/>
      <c r="F1850" s="42"/>
      <c r="G1850" s="42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</row>
    <row r="1851">
      <c r="A1851" s="13" t="s">
        <v>3700</v>
      </c>
      <c r="B1851" s="26" t="s">
        <v>3701</v>
      </c>
      <c r="C1851" s="23"/>
      <c r="D1851" s="23"/>
      <c r="E1851" s="23"/>
      <c r="F1851" s="42"/>
      <c r="G1851" s="42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</row>
    <row r="1852">
      <c r="A1852" s="18" t="s">
        <v>3702</v>
      </c>
      <c r="B1852" s="19" t="s">
        <v>3703</v>
      </c>
      <c r="C1852" s="23"/>
      <c r="D1852" s="23"/>
      <c r="E1852" s="23"/>
      <c r="F1852" s="42"/>
      <c r="G1852" s="42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</row>
    <row r="1853">
      <c r="A1853" s="13" t="s">
        <v>3704</v>
      </c>
      <c r="B1853" s="14" t="s">
        <v>3705</v>
      </c>
      <c r="C1853" s="23"/>
      <c r="D1853" s="23"/>
      <c r="E1853" s="23"/>
      <c r="F1853" s="42"/>
      <c r="G1853" s="42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</row>
    <row r="1854">
      <c r="A1854" s="25" t="s">
        <v>3706</v>
      </c>
      <c r="B1854" s="19" t="s">
        <v>3707</v>
      </c>
      <c r="C1854" s="23"/>
      <c r="D1854" s="23"/>
      <c r="E1854" s="23"/>
      <c r="F1854" s="42"/>
      <c r="G1854" s="42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</row>
    <row r="1855">
      <c r="A1855" s="13" t="s">
        <v>3708</v>
      </c>
      <c r="B1855" s="14" t="s">
        <v>3709</v>
      </c>
      <c r="C1855" s="23"/>
      <c r="D1855" s="23"/>
      <c r="E1855" s="23"/>
      <c r="F1855" s="42"/>
      <c r="G1855" s="42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</row>
    <row r="1856">
      <c r="A1856" s="18" t="s">
        <v>3710</v>
      </c>
      <c r="B1856" s="19" t="s">
        <v>3711</v>
      </c>
      <c r="C1856" s="23"/>
      <c r="D1856" s="23"/>
      <c r="E1856" s="23"/>
      <c r="F1856" s="42"/>
      <c r="G1856" s="42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</row>
    <row r="1857">
      <c r="A1857" s="13" t="s">
        <v>3712</v>
      </c>
      <c r="B1857" s="14" t="s">
        <v>3713</v>
      </c>
      <c r="C1857" s="23"/>
      <c r="D1857" s="23"/>
      <c r="E1857" s="23"/>
      <c r="F1857" s="42"/>
      <c r="G1857" s="42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</row>
    <row r="1858">
      <c r="A1858" s="18" t="s">
        <v>3714</v>
      </c>
      <c r="B1858" s="19" t="s">
        <v>3715</v>
      </c>
      <c r="C1858" s="23"/>
      <c r="D1858" s="23"/>
      <c r="E1858" s="23"/>
      <c r="F1858" s="42"/>
      <c r="G1858" s="42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</row>
    <row r="1859">
      <c r="A1859" s="22" t="s">
        <v>3716</v>
      </c>
      <c r="B1859" s="14" t="s">
        <v>3717</v>
      </c>
      <c r="C1859" s="23"/>
      <c r="D1859" s="23"/>
      <c r="E1859" s="23"/>
      <c r="F1859" s="42"/>
      <c r="G1859" s="42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</row>
    <row r="1860">
      <c r="A1860" s="25" t="s">
        <v>3718</v>
      </c>
      <c r="B1860" s="19" t="s">
        <v>3719</v>
      </c>
      <c r="C1860" s="23"/>
      <c r="D1860" s="23"/>
      <c r="E1860" s="23"/>
      <c r="F1860" s="42"/>
      <c r="G1860" s="42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</row>
    <row r="1861">
      <c r="A1861" s="22" t="s">
        <v>3720</v>
      </c>
      <c r="B1861" s="14" t="s">
        <v>3721</v>
      </c>
      <c r="C1861" s="23"/>
      <c r="D1861" s="23"/>
      <c r="E1861" s="23"/>
      <c r="F1861" s="42"/>
      <c r="G1861" s="42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</row>
    <row r="1862">
      <c r="A1862" s="18" t="s">
        <v>3722</v>
      </c>
      <c r="B1862" s="19" t="s">
        <v>3723</v>
      </c>
      <c r="C1862" s="23"/>
      <c r="D1862" s="23"/>
      <c r="E1862" s="23"/>
      <c r="F1862" s="42"/>
      <c r="G1862" s="42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</row>
    <row r="1863">
      <c r="A1863" s="13" t="s">
        <v>3724</v>
      </c>
      <c r="B1863" s="26" t="s">
        <v>3725</v>
      </c>
      <c r="C1863" s="23"/>
      <c r="D1863" s="23"/>
      <c r="E1863" s="23"/>
      <c r="F1863" s="42"/>
      <c r="G1863" s="42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</row>
    <row r="1864">
      <c r="A1864" s="25" t="s">
        <v>3726</v>
      </c>
      <c r="B1864" s="19" t="s">
        <v>3727</v>
      </c>
      <c r="C1864" s="23"/>
      <c r="D1864" s="23"/>
      <c r="E1864" s="23"/>
      <c r="F1864" s="42"/>
      <c r="G1864" s="42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</row>
    <row r="1865">
      <c r="A1865" s="13" t="s">
        <v>3728</v>
      </c>
      <c r="B1865" s="14" t="s">
        <v>3729</v>
      </c>
      <c r="C1865" s="23"/>
      <c r="D1865" s="23"/>
      <c r="E1865" s="23"/>
      <c r="F1865" s="42"/>
      <c r="G1865" s="42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</row>
    <row r="1866">
      <c r="A1866" s="25" t="s">
        <v>3730</v>
      </c>
      <c r="B1866" s="19" t="s">
        <v>3731</v>
      </c>
      <c r="C1866" s="23"/>
      <c r="D1866" s="23"/>
      <c r="E1866" s="23"/>
      <c r="F1866" s="42"/>
      <c r="G1866" s="42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</row>
    <row r="1867">
      <c r="A1867" s="13" t="s">
        <v>3732</v>
      </c>
      <c r="B1867" s="14" t="s">
        <v>3733</v>
      </c>
      <c r="C1867" s="23"/>
      <c r="D1867" s="23"/>
      <c r="E1867" s="23"/>
      <c r="F1867" s="42"/>
      <c r="G1867" s="42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</row>
    <row r="1868">
      <c r="A1868" s="18" t="s">
        <v>3734</v>
      </c>
      <c r="B1868" s="19" t="s">
        <v>3735</v>
      </c>
      <c r="C1868" s="23"/>
      <c r="D1868" s="23"/>
      <c r="E1868" s="23"/>
      <c r="F1868" s="42"/>
      <c r="G1868" s="42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</row>
    <row r="1869">
      <c r="A1869" s="13" t="s">
        <v>3736</v>
      </c>
      <c r="B1869" s="14" t="s">
        <v>3737</v>
      </c>
      <c r="C1869" s="23"/>
      <c r="D1869" s="23"/>
      <c r="E1869" s="23"/>
      <c r="F1869" s="42"/>
      <c r="G1869" s="42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</row>
    <row r="1870">
      <c r="A1870" s="18" t="s">
        <v>3738</v>
      </c>
      <c r="B1870" s="19" t="s">
        <v>3739</v>
      </c>
      <c r="C1870" s="23"/>
      <c r="D1870" s="23"/>
      <c r="E1870" s="23"/>
      <c r="F1870" s="42"/>
      <c r="G1870" s="42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</row>
    <row r="1871">
      <c r="A1871" s="13" t="s">
        <v>3740</v>
      </c>
      <c r="B1871" s="14" t="s">
        <v>3741</v>
      </c>
      <c r="C1871" s="23"/>
      <c r="D1871" s="23"/>
      <c r="E1871" s="23"/>
      <c r="F1871" s="42"/>
      <c r="G1871" s="42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</row>
    <row r="1872">
      <c r="A1872" s="18" t="s">
        <v>3742</v>
      </c>
      <c r="B1872" s="19" t="s">
        <v>3743</v>
      </c>
      <c r="C1872" s="23"/>
      <c r="D1872" s="23"/>
      <c r="E1872" s="23"/>
      <c r="F1872" s="42"/>
      <c r="G1872" s="42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</row>
    <row r="1873">
      <c r="A1873" s="22" t="s">
        <v>3744</v>
      </c>
      <c r="B1873" s="14" t="s">
        <v>3745</v>
      </c>
      <c r="C1873" s="23"/>
      <c r="D1873" s="23"/>
      <c r="E1873" s="23"/>
      <c r="F1873" s="42"/>
      <c r="G1873" s="42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</row>
    <row r="1874">
      <c r="A1874" s="25" t="s">
        <v>3746</v>
      </c>
      <c r="B1874" s="19" t="s">
        <v>3747</v>
      </c>
      <c r="C1874" s="23"/>
      <c r="D1874" s="23"/>
      <c r="E1874" s="23"/>
      <c r="F1874" s="42"/>
      <c r="G1874" s="42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</row>
    <row r="1875">
      <c r="A1875" s="22" t="s">
        <v>3748</v>
      </c>
      <c r="B1875" s="14" t="s">
        <v>3749</v>
      </c>
      <c r="C1875" s="23"/>
      <c r="D1875" s="23"/>
      <c r="E1875" s="23"/>
      <c r="F1875" s="42"/>
      <c r="G1875" s="42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</row>
    <row r="1876">
      <c r="A1876" s="25" t="s">
        <v>3750</v>
      </c>
      <c r="B1876" s="19" t="s">
        <v>3751</v>
      </c>
      <c r="C1876" s="23"/>
      <c r="D1876" s="23"/>
      <c r="E1876" s="23"/>
      <c r="F1876" s="42"/>
      <c r="G1876" s="42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</row>
    <row r="1877">
      <c r="A1877" s="13" t="s">
        <v>3752</v>
      </c>
      <c r="B1877" s="14" t="s">
        <v>3753</v>
      </c>
      <c r="C1877" s="23"/>
      <c r="D1877" s="23"/>
      <c r="E1877" s="23"/>
      <c r="F1877" s="42"/>
      <c r="G1877" s="42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</row>
    <row r="1878">
      <c r="A1878" s="18" t="s">
        <v>3754</v>
      </c>
      <c r="B1878" s="19" t="s">
        <v>3755</v>
      </c>
      <c r="C1878" s="23"/>
      <c r="D1878" s="23"/>
      <c r="E1878" s="23"/>
      <c r="F1878" s="42"/>
      <c r="G1878" s="42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</row>
    <row r="1879">
      <c r="A1879" s="22" t="s">
        <v>3756</v>
      </c>
      <c r="B1879" s="14" t="s">
        <v>3757</v>
      </c>
      <c r="C1879" s="23"/>
      <c r="D1879" s="23"/>
      <c r="E1879" s="23"/>
      <c r="F1879" s="42"/>
      <c r="G1879" s="42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</row>
    <row r="1880">
      <c r="A1880" s="18" t="s">
        <v>3758</v>
      </c>
      <c r="B1880" s="19" t="s">
        <v>3759</v>
      </c>
      <c r="C1880" s="23"/>
      <c r="D1880" s="23"/>
      <c r="E1880" s="23"/>
      <c r="F1880" s="42"/>
      <c r="G1880" s="42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</row>
    <row r="1881">
      <c r="A1881" s="22" t="s">
        <v>3760</v>
      </c>
      <c r="B1881" s="14" t="s">
        <v>3761</v>
      </c>
      <c r="C1881" s="23"/>
      <c r="D1881" s="23"/>
      <c r="E1881" s="23"/>
      <c r="F1881" s="42"/>
      <c r="G1881" s="42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</row>
    <row r="1882">
      <c r="A1882" s="25" t="s">
        <v>3762</v>
      </c>
      <c r="B1882" s="19" t="s">
        <v>3763</v>
      </c>
      <c r="C1882" s="23"/>
      <c r="D1882" s="23"/>
      <c r="E1882" s="23"/>
      <c r="F1882" s="42"/>
      <c r="G1882" s="42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</row>
    <row r="1883">
      <c r="A1883" s="13" t="s">
        <v>3764</v>
      </c>
      <c r="B1883" s="14" t="s">
        <v>3765</v>
      </c>
      <c r="C1883" s="23"/>
      <c r="D1883" s="23"/>
      <c r="E1883" s="23"/>
      <c r="F1883" s="42"/>
      <c r="G1883" s="42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</row>
    <row r="1884">
      <c r="A1884" s="25" t="s">
        <v>3766</v>
      </c>
      <c r="B1884" s="19" t="s">
        <v>3767</v>
      </c>
      <c r="C1884" s="23"/>
      <c r="D1884" s="23"/>
      <c r="E1884" s="23"/>
      <c r="F1884" s="42"/>
      <c r="G1884" s="42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</row>
    <row r="1885">
      <c r="A1885" s="59" t="s">
        <v>3768</v>
      </c>
      <c r="B1885" s="60" t="s">
        <v>3769</v>
      </c>
      <c r="C1885" s="23"/>
      <c r="D1885" s="23"/>
      <c r="E1885" s="23"/>
      <c r="F1885" s="42"/>
      <c r="G1885" s="42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</row>
    <row r="1886">
      <c r="A1886" s="27"/>
      <c r="B1886" s="27"/>
      <c r="C1886" s="23"/>
      <c r="D1886" s="23"/>
      <c r="E1886" s="23"/>
      <c r="F1886" s="42"/>
      <c r="G1886" s="42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</row>
    <row r="1887">
      <c r="A1887" s="27"/>
      <c r="B1887" s="27"/>
      <c r="C1887" s="42"/>
      <c r="D1887" s="42"/>
      <c r="E1887" s="42"/>
      <c r="F1887" s="42"/>
      <c r="G1887" s="42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</row>
    <row r="1888">
      <c r="A1888" s="27"/>
      <c r="B1888" s="27"/>
      <c r="C1888" s="42"/>
      <c r="D1888" s="42"/>
      <c r="E1888" s="42"/>
      <c r="F1888" s="42"/>
      <c r="G1888" s="42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</row>
    <row r="1889">
      <c r="A1889" s="27"/>
      <c r="B1889" s="27"/>
      <c r="C1889" s="42"/>
      <c r="D1889" s="42"/>
      <c r="E1889" s="42"/>
      <c r="F1889" s="42"/>
      <c r="G1889" s="42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</row>
    <row r="1890">
      <c r="A1890" s="27"/>
      <c r="B1890" s="27"/>
      <c r="C1890" s="42"/>
      <c r="D1890" s="42"/>
      <c r="E1890" s="42"/>
      <c r="F1890" s="42"/>
      <c r="G1890" s="42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</row>
    <row r="1891">
      <c r="A1891" s="27"/>
      <c r="B1891" s="27"/>
      <c r="C1891" s="42"/>
      <c r="D1891" s="42"/>
      <c r="E1891" s="42"/>
      <c r="F1891" s="42"/>
      <c r="G1891" s="42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</row>
    <row r="1892">
      <c r="A1892" s="27"/>
      <c r="B1892" s="27"/>
      <c r="C1892" s="42"/>
      <c r="D1892" s="42"/>
      <c r="E1892" s="42"/>
      <c r="F1892" s="42"/>
      <c r="G1892" s="42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</row>
    <row r="1893">
      <c r="A1893" s="27"/>
      <c r="B1893" s="27"/>
      <c r="C1893" s="42"/>
      <c r="D1893" s="42"/>
      <c r="E1893" s="42"/>
      <c r="F1893" s="42"/>
      <c r="G1893" s="42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</row>
    <row r="1894">
      <c r="A1894" s="27"/>
      <c r="B1894" s="27"/>
      <c r="C1894" s="42"/>
      <c r="D1894" s="42"/>
      <c r="E1894" s="42"/>
      <c r="F1894" s="42"/>
      <c r="G1894" s="42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</row>
    <row r="1895">
      <c r="A1895" s="27"/>
      <c r="B1895" s="27"/>
      <c r="C1895" s="42"/>
      <c r="D1895" s="42"/>
      <c r="E1895" s="42"/>
      <c r="F1895" s="42"/>
      <c r="G1895" s="42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</row>
    <row r="1896">
      <c r="A1896" s="27"/>
      <c r="B1896" s="27"/>
      <c r="C1896" s="42"/>
      <c r="D1896" s="42"/>
      <c r="E1896" s="42"/>
      <c r="F1896" s="42"/>
      <c r="G1896" s="42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</row>
    <row r="1897">
      <c r="A1897" s="27"/>
      <c r="B1897" s="27"/>
      <c r="C1897" s="42"/>
      <c r="D1897" s="42"/>
      <c r="E1897" s="42"/>
      <c r="F1897" s="42"/>
      <c r="G1897" s="42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</row>
    <row r="1898">
      <c r="A1898" s="27"/>
      <c r="B1898" s="27"/>
      <c r="C1898" s="42"/>
      <c r="D1898" s="42"/>
      <c r="E1898" s="42"/>
      <c r="F1898" s="42"/>
      <c r="G1898" s="42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</row>
    <row r="1899">
      <c r="A1899" s="27"/>
      <c r="B1899" s="27"/>
      <c r="C1899" s="42"/>
      <c r="D1899" s="42"/>
      <c r="E1899" s="42"/>
      <c r="F1899" s="42"/>
      <c r="G1899" s="42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</row>
    <row r="1900">
      <c r="A1900" s="27"/>
      <c r="B1900" s="27"/>
      <c r="C1900" s="42"/>
      <c r="D1900" s="42"/>
      <c r="E1900" s="42"/>
      <c r="F1900" s="42"/>
      <c r="G1900" s="42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</row>
    <row r="1901">
      <c r="A1901" s="27"/>
      <c r="B1901" s="27"/>
      <c r="C1901" s="42"/>
      <c r="D1901" s="42"/>
      <c r="E1901" s="42"/>
      <c r="F1901" s="42"/>
      <c r="G1901" s="42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</row>
    <row r="1902">
      <c r="A1902" s="27"/>
      <c r="B1902" s="27"/>
      <c r="C1902" s="42"/>
      <c r="D1902" s="42"/>
      <c r="E1902" s="42"/>
      <c r="F1902" s="42"/>
      <c r="G1902" s="42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</row>
    <row r="1903">
      <c r="A1903" s="27"/>
      <c r="B1903" s="27"/>
      <c r="C1903" s="42"/>
      <c r="D1903" s="42"/>
      <c r="E1903" s="42"/>
      <c r="F1903" s="42"/>
      <c r="G1903" s="42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</row>
    <row r="1904">
      <c r="A1904" s="27"/>
      <c r="B1904" s="27"/>
      <c r="C1904" s="42"/>
      <c r="D1904" s="42"/>
      <c r="E1904" s="42"/>
      <c r="F1904" s="42"/>
      <c r="G1904" s="42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</row>
    <row r="1905">
      <c r="A1905" s="27"/>
      <c r="B1905" s="27"/>
      <c r="C1905" s="42"/>
      <c r="D1905" s="42"/>
      <c r="E1905" s="42"/>
      <c r="F1905" s="42"/>
      <c r="G1905" s="42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</row>
    <row r="1906">
      <c r="A1906" s="27"/>
      <c r="B1906" s="27"/>
      <c r="C1906" s="42"/>
      <c r="D1906" s="42"/>
      <c r="E1906" s="42"/>
      <c r="F1906" s="42"/>
      <c r="G1906" s="42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</row>
    <row r="1907">
      <c r="A1907" s="27"/>
      <c r="B1907" s="27"/>
      <c r="C1907" s="42"/>
      <c r="D1907" s="42"/>
      <c r="E1907" s="42"/>
      <c r="F1907" s="42"/>
      <c r="G1907" s="42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</row>
    <row r="1908">
      <c r="A1908" s="27"/>
      <c r="B1908" s="27"/>
      <c r="C1908" s="42"/>
      <c r="D1908" s="42"/>
      <c r="E1908" s="42"/>
      <c r="F1908" s="42"/>
      <c r="G1908" s="42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</row>
    <row r="1909">
      <c r="A1909" s="27"/>
      <c r="B1909" s="27"/>
      <c r="C1909" s="42"/>
      <c r="D1909" s="42"/>
      <c r="E1909" s="42"/>
      <c r="F1909" s="42"/>
      <c r="G1909" s="42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</row>
    <row r="1910">
      <c r="A1910" s="27"/>
      <c r="B1910" s="27"/>
      <c r="C1910" s="42"/>
      <c r="D1910" s="42"/>
      <c r="E1910" s="42"/>
      <c r="F1910" s="42"/>
      <c r="G1910" s="42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</row>
    <row r="1911">
      <c r="A1911" s="27"/>
      <c r="B1911" s="27"/>
      <c r="C1911" s="42"/>
      <c r="D1911" s="42"/>
      <c r="E1911" s="42"/>
      <c r="F1911" s="42"/>
      <c r="G1911" s="42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</row>
    <row r="1912">
      <c r="A1912" s="27"/>
      <c r="B1912" s="27"/>
      <c r="C1912" s="42"/>
      <c r="D1912" s="42"/>
      <c r="E1912" s="42"/>
      <c r="F1912" s="42"/>
      <c r="G1912" s="42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</row>
    <row r="1913">
      <c r="A1913" s="27"/>
      <c r="B1913" s="27"/>
      <c r="C1913" s="42"/>
      <c r="D1913" s="42"/>
      <c r="E1913" s="42"/>
      <c r="F1913" s="42"/>
      <c r="G1913" s="42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</row>
    <row r="1914">
      <c r="A1914" s="27"/>
      <c r="B1914" s="27"/>
      <c r="C1914" s="42"/>
      <c r="D1914" s="42"/>
      <c r="E1914" s="42"/>
      <c r="F1914" s="42"/>
      <c r="G1914" s="42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</row>
    <row r="1915">
      <c r="A1915" s="27"/>
      <c r="B1915" s="27"/>
      <c r="C1915" s="42"/>
      <c r="D1915" s="42"/>
      <c r="E1915" s="42"/>
      <c r="F1915" s="42"/>
      <c r="G1915" s="42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</row>
    <row r="1916">
      <c r="A1916" s="27"/>
      <c r="B1916" s="27"/>
      <c r="C1916" s="42"/>
      <c r="D1916" s="42"/>
      <c r="E1916" s="42"/>
      <c r="F1916" s="42"/>
      <c r="G1916" s="42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</row>
    <row r="1917">
      <c r="C1917" s="42"/>
      <c r="D1917" s="42"/>
      <c r="E1917" s="42"/>
      <c r="F1917" s="42"/>
      <c r="G1917" s="42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</row>
    <row r="1918">
      <c r="C1918" s="42"/>
      <c r="D1918" s="42"/>
      <c r="E1918" s="42"/>
      <c r="F1918" s="42"/>
      <c r="G1918" s="42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</row>
    <row r="1919">
      <c r="C1919" s="42"/>
      <c r="D1919" s="42"/>
      <c r="E1919" s="42"/>
      <c r="F1919" s="42"/>
      <c r="G1919" s="42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</row>
    <row r="1920">
      <c r="C1920" s="42"/>
      <c r="D1920" s="42"/>
      <c r="E1920" s="42"/>
      <c r="F1920" s="42"/>
      <c r="G1920" s="42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</row>
    <row r="1921">
      <c r="C1921" s="42"/>
      <c r="D1921" s="42"/>
      <c r="E1921" s="42"/>
      <c r="F1921" s="42"/>
      <c r="G1921" s="42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</row>
    <row r="1922">
      <c r="C1922" s="42"/>
      <c r="D1922" s="42"/>
      <c r="E1922" s="42"/>
      <c r="F1922" s="42"/>
      <c r="G1922" s="42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</row>
    <row r="1923">
      <c r="C1923" s="42"/>
      <c r="D1923" s="42"/>
      <c r="E1923" s="42"/>
      <c r="F1923" s="42"/>
      <c r="G1923" s="42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</row>
    <row r="1924">
      <c r="C1924" s="42"/>
      <c r="D1924" s="42"/>
      <c r="E1924" s="42"/>
      <c r="F1924" s="42"/>
      <c r="G1924" s="42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</row>
    <row r="1925">
      <c r="C1925" s="42"/>
      <c r="D1925" s="42"/>
      <c r="E1925" s="42"/>
      <c r="F1925" s="42"/>
      <c r="G1925" s="42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</row>
    <row r="1926">
      <c r="C1926" s="42"/>
      <c r="D1926" s="42"/>
      <c r="E1926" s="42"/>
      <c r="F1926" s="42"/>
      <c r="G1926" s="42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</row>
  </sheetData>
  <dataValidations>
    <dataValidation allowBlank="1" showDropDown="1" sqref="B2:B1885"/>
    <dataValidation allowBlank="1" showDropDown="1" sqref="A2:A1885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1" t="s">
        <v>3770</v>
      </c>
      <c r="C1" s="62" t="s">
        <v>3771</v>
      </c>
      <c r="D1" s="62" t="s">
        <v>3772</v>
      </c>
      <c r="E1" s="62" t="s">
        <v>3773</v>
      </c>
      <c r="F1" s="62" t="s">
        <v>3774</v>
      </c>
      <c r="G1" s="62" t="s">
        <v>3775</v>
      </c>
      <c r="H1" s="62" t="s">
        <v>3776</v>
      </c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</row>
    <row r="2" ht="18.75" customHeight="1">
      <c r="A2" s="61" t="s">
        <v>3777</v>
      </c>
      <c r="C2" s="62" t="s">
        <v>3778</v>
      </c>
      <c r="D2" s="64" t="s">
        <v>3779</v>
      </c>
      <c r="E2" s="62" t="s">
        <v>3780</v>
      </c>
      <c r="F2" s="62" t="s">
        <v>3781</v>
      </c>
      <c r="G2" s="65" t="s">
        <v>3782</v>
      </c>
      <c r="H2" s="62" t="s">
        <v>3776</v>
      </c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</row>
    <row r="3" ht="18.75" customHeight="1">
      <c r="A3" s="61" t="s">
        <v>3783</v>
      </c>
      <c r="C3" s="62" t="s">
        <v>3784</v>
      </c>
      <c r="H3" s="62" t="s">
        <v>3776</v>
      </c>
      <c r="I3" s="63"/>
      <c r="J3" s="63"/>
      <c r="K3" s="63"/>
      <c r="L3" s="63"/>
      <c r="M3" s="63"/>
      <c r="N3" s="63"/>
      <c r="O3" s="63"/>
      <c r="P3" s="63"/>
      <c r="Q3" s="63"/>
      <c r="R3" s="63"/>
      <c r="S3" s="63"/>
      <c r="T3" s="63"/>
      <c r="U3" s="63"/>
      <c r="V3" s="63"/>
      <c r="W3" s="63"/>
      <c r="X3" s="63"/>
      <c r="Y3" s="63"/>
      <c r="Z3" s="63"/>
    </row>
    <row r="4" ht="18.75" customHeight="1">
      <c r="A4" s="61" t="s">
        <v>3785</v>
      </c>
      <c r="B4" s="62" t="s">
        <v>3786</v>
      </c>
      <c r="I4" s="63"/>
      <c r="J4" s="63"/>
      <c r="K4" s="63"/>
      <c r="L4" s="63"/>
      <c r="M4" s="63"/>
      <c r="N4" s="63"/>
      <c r="O4" s="63"/>
      <c r="P4" s="63"/>
      <c r="Q4" s="63"/>
      <c r="R4" s="63"/>
      <c r="S4" s="63"/>
      <c r="T4" s="63"/>
      <c r="U4" s="63"/>
      <c r="V4" s="63"/>
      <c r="W4" s="63"/>
      <c r="X4" s="63"/>
      <c r="Y4" s="63"/>
      <c r="Z4" s="63"/>
    </row>
    <row r="5" ht="18.75" customHeight="1">
      <c r="A5" s="61" t="s">
        <v>3787</v>
      </c>
      <c r="B5" s="62" t="s">
        <v>3788</v>
      </c>
      <c r="I5" s="63"/>
      <c r="J5" s="63"/>
      <c r="K5" s="63"/>
      <c r="L5" s="63"/>
      <c r="M5" s="63"/>
      <c r="N5" s="63"/>
      <c r="O5" s="63"/>
      <c r="P5" s="63"/>
      <c r="Q5" s="63"/>
      <c r="R5" s="63"/>
      <c r="S5" s="63"/>
      <c r="T5" s="63"/>
      <c r="U5" s="63"/>
      <c r="V5" s="63"/>
      <c r="W5" s="63"/>
      <c r="X5" s="63"/>
      <c r="Y5" s="63"/>
      <c r="Z5" s="63"/>
    </row>
    <row r="6" ht="18.75" customHeight="1">
      <c r="A6" s="61" t="s">
        <v>3789</v>
      </c>
      <c r="B6" s="62" t="s">
        <v>3790</v>
      </c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3"/>
      <c r="U6" s="63"/>
      <c r="V6" s="63"/>
      <c r="W6" s="63"/>
      <c r="X6" s="63"/>
      <c r="Y6" s="63"/>
      <c r="Z6" s="63"/>
    </row>
    <row r="7" ht="18.75" customHeight="1">
      <c r="A7" s="63"/>
      <c r="B7" s="63"/>
      <c r="C7" s="63"/>
      <c r="D7" s="63"/>
      <c r="E7" s="63"/>
      <c r="F7" s="63"/>
      <c r="G7" s="63"/>
      <c r="H7" s="63"/>
      <c r="I7" s="63"/>
      <c r="J7" s="63"/>
      <c r="K7" s="63"/>
      <c r="L7" s="63"/>
      <c r="M7" s="63"/>
      <c r="N7" s="63"/>
      <c r="O7" s="63"/>
      <c r="P7" s="63"/>
      <c r="Q7" s="63"/>
      <c r="R7" s="63"/>
      <c r="S7" s="63"/>
      <c r="T7" s="63"/>
      <c r="U7" s="63"/>
      <c r="V7" s="63"/>
      <c r="W7" s="63"/>
      <c r="X7" s="63"/>
      <c r="Y7" s="63"/>
      <c r="Z7" s="63"/>
    </row>
    <row r="8" ht="18.75" customHeight="1">
      <c r="A8" s="63"/>
      <c r="B8" s="63"/>
      <c r="C8" s="63"/>
      <c r="D8" s="63"/>
      <c r="E8" s="63"/>
      <c r="F8" s="63"/>
      <c r="G8" s="63"/>
      <c r="H8" s="63"/>
      <c r="I8" s="63"/>
      <c r="J8" s="63"/>
      <c r="K8" s="63"/>
      <c r="L8" s="63"/>
      <c r="M8" s="63"/>
      <c r="N8" s="63"/>
      <c r="O8" s="63"/>
      <c r="P8" s="63"/>
      <c r="Q8" s="63"/>
      <c r="R8" s="63"/>
      <c r="S8" s="63"/>
      <c r="T8" s="63"/>
      <c r="U8" s="63"/>
      <c r="V8" s="63"/>
      <c r="W8" s="63"/>
      <c r="X8" s="63"/>
      <c r="Y8" s="63"/>
      <c r="Z8" s="63"/>
    </row>
    <row r="9" ht="18.75" customHeight="1">
      <c r="A9" s="61" t="s">
        <v>3791</v>
      </c>
      <c r="K9" s="61" t="s">
        <v>3792</v>
      </c>
      <c r="Q9" s="63"/>
      <c r="R9" s="63"/>
      <c r="S9" s="63"/>
      <c r="T9" s="63"/>
      <c r="U9" s="63"/>
      <c r="V9" s="63"/>
      <c r="W9" s="63"/>
      <c r="X9" s="63"/>
      <c r="Y9" s="63"/>
      <c r="Z9" s="63"/>
    </row>
    <row r="10" ht="18.75" customHeight="1">
      <c r="A10" s="66" t="s">
        <v>3793</v>
      </c>
      <c r="B10" s="67" t="s">
        <v>3794</v>
      </c>
      <c r="C10" s="67" t="s">
        <v>3795</v>
      </c>
      <c r="D10" s="67" t="s">
        <v>3796</v>
      </c>
      <c r="G10" s="66" t="s">
        <v>3797</v>
      </c>
      <c r="H10" s="67" t="s">
        <v>3794</v>
      </c>
      <c r="I10" s="67" t="s">
        <v>3795</v>
      </c>
      <c r="J10" s="67" t="s">
        <v>3796</v>
      </c>
      <c r="K10" s="66" t="s">
        <v>3793</v>
      </c>
      <c r="L10" s="66" t="s">
        <v>3798</v>
      </c>
      <c r="M10" s="67" t="s">
        <v>3799</v>
      </c>
      <c r="N10" s="66" t="s">
        <v>3797</v>
      </c>
      <c r="O10" s="66" t="s">
        <v>3798</v>
      </c>
      <c r="P10" s="67" t="s">
        <v>3799</v>
      </c>
      <c r="Q10" s="63"/>
      <c r="R10" s="63"/>
      <c r="S10" s="63"/>
      <c r="T10" s="63"/>
      <c r="U10" s="63"/>
      <c r="V10" s="63"/>
      <c r="W10" s="63"/>
      <c r="X10" s="63"/>
      <c r="Y10" s="63"/>
      <c r="Z10" s="63"/>
    </row>
    <row r="11" ht="18.75" customHeight="1">
      <c r="D11" s="68" t="s">
        <v>3800</v>
      </c>
      <c r="E11" s="68" t="s">
        <v>3801</v>
      </c>
      <c r="F11" s="69" t="s">
        <v>3799</v>
      </c>
      <c r="Q11" s="63"/>
      <c r="R11" s="63"/>
      <c r="S11" s="63"/>
      <c r="T11" s="63"/>
      <c r="U11" s="63"/>
      <c r="V11" s="63"/>
      <c r="W11" s="63"/>
      <c r="X11" s="63"/>
      <c r="Y11" s="63"/>
      <c r="Z11" s="63"/>
    </row>
    <row r="12" ht="18.75" customHeight="1">
      <c r="A12" s="67" t="s">
        <v>3802</v>
      </c>
      <c r="B12" s="70" t="s">
        <v>573</v>
      </c>
      <c r="C12" s="70" t="s">
        <v>3746</v>
      </c>
      <c r="D12" s="62" t="s">
        <v>1169</v>
      </c>
      <c r="E12" s="70" t="s">
        <v>1290</v>
      </c>
      <c r="F12" s="70" t="s">
        <v>3606</v>
      </c>
      <c r="G12" s="67" t="s">
        <v>3802</v>
      </c>
      <c r="H12" s="70" t="s">
        <v>3444</v>
      </c>
      <c r="I12" s="70" t="s">
        <v>3626</v>
      </c>
      <c r="J12" s="62" t="s">
        <v>3624</v>
      </c>
      <c r="K12" s="67" t="s">
        <v>3802</v>
      </c>
      <c r="L12" s="70" t="s">
        <v>3803</v>
      </c>
      <c r="M12" s="70" t="s">
        <v>3804</v>
      </c>
      <c r="N12" s="67" t="s">
        <v>3802</v>
      </c>
      <c r="O12" s="70" t="s">
        <v>3664</v>
      </c>
      <c r="P12" s="70" t="s">
        <v>3805</v>
      </c>
      <c r="Q12" s="63"/>
      <c r="R12" s="63"/>
      <c r="S12" s="63"/>
      <c r="T12" s="63"/>
      <c r="U12" s="63"/>
      <c r="V12" s="63"/>
      <c r="W12" s="63"/>
      <c r="X12" s="63"/>
      <c r="Y12" s="63"/>
      <c r="Z12" s="63"/>
    </row>
    <row r="13" ht="18.75" customHeight="1">
      <c r="A13" s="67" t="s">
        <v>3806</v>
      </c>
      <c r="B13" s="70" t="s">
        <v>2126</v>
      </c>
      <c r="C13" s="70" t="s">
        <v>3672</v>
      </c>
      <c r="D13" s="62" t="s">
        <v>3807</v>
      </c>
      <c r="E13" s="70" t="s">
        <v>3808</v>
      </c>
      <c r="F13" s="70" t="s">
        <v>3606</v>
      </c>
      <c r="G13" s="67" t="s">
        <v>3806</v>
      </c>
      <c r="H13" s="70" t="s">
        <v>2416</v>
      </c>
      <c r="I13" s="70" t="s">
        <v>3638</v>
      </c>
      <c r="J13" s="62" t="s">
        <v>3634</v>
      </c>
      <c r="K13" s="67" t="s">
        <v>3806</v>
      </c>
      <c r="L13" s="70" t="s">
        <v>3809</v>
      </c>
      <c r="N13" s="67" t="s">
        <v>3806</v>
      </c>
      <c r="O13" s="70" t="s">
        <v>3810</v>
      </c>
      <c r="Q13" s="63"/>
      <c r="R13" s="63"/>
      <c r="S13" s="63"/>
      <c r="T13" s="63"/>
      <c r="U13" s="63"/>
      <c r="V13" s="63"/>
      <c r="W13" s="63"/>
      <c r="X13" s="63"/>
      <c r="Y13" s="63"/>
      <c r="Z13" s="63"/>
    </row>
    <row r="14" ht="18.75" customHeight="1">
      <c r="A14" s="67" t="s">
        <v>3811</v>
      </c>
      <c r="B14" s="70" t="s">
        <v>2104</v>
      </c>
      <c r="C14" s="70" t="s">
        <v>3650</v>
      </c>
      <c r="D14" s="62" t="s">
        <v>3812</v>
      </c>
      <c r="E14" s="70" t="s">
        <v>1203</v>
      </c>
      <c r="F14" s="70" t="s">
        <v>3606</v>
      </c>
      <c r="G14" s="67" t="s">
        <v>3811</v>
      </c>
      <c r="H14" s="70" t="s">
        <v>2484</v>
      </c>
      <c r="I14" s="70" t="s">
        <v>3813</v>
      </c>
      <c r="J14" s="62" t="s">
        <v>3634</v>
      </c>
      <c r="K14" s="67" t="s">
        <v>3811</v>
      </c>
      <c r="L14" s="70" t="s">
        <v>3814</v>
      </c>
      <c r="N14" s="67" t="s">
        <v>3811</v>
      </c>
      <c r="O14" s="70" t="s">
        <v>3815</v>
      </c>
      <c r="Q14" s="63"/>
      <c r="R14" s="63"/>
      <c r="S14" s="63"/>
      <c r="T14" s="63"/>
      <c r="U14" s="63"/>
      <c r="V14" s="63"/>
      <c r="W14" s="63"/>
      <c r="X14" s="63"/>
      <c r="Y14" s="63"/>
      <c r="Z14" s="63"/>
    </row>
    <row r="15" ht="18.75" customHeight="1">
      <c r="A15" s="67" t="s">
        <v>3816</v>
      </c>
      <c r="B15" s="70" t="s">
        <v>3817</v>
      </c>
      <c r="C15" s="70" t="s">
        <v>3818</v>
      </c>
      <c r="D15" s="62" t="s">
        <v>3819</v>
      </c>
      <c r="E15" s="70" t="s">
        <v>1201</v>
      </c>
      <c r="F15" s="70" t="s">
        <v>3608</v>
      </c>
      <c r="G15" s="67" t="s">
        <v>3816</v>
      </c>
      <c r="H15" s="70" t="s">
        <v>2414</v>
      </c>
      <c r="I15" s="70" t="s">
        <v>3640</v>
      </c>
      <c r="J15" s="62" t="s">
        <v>3636</v>
      </c>
      <c r="K15" s="67" t="s">
        <v>3816</v>
      </c>
      <c r="L15" s="70" t="s">
        <v>3656</v>
      </c>
      <c r="N15" s="67" t="s">
        <v>3816</v>
      </c>
      <c r="O15" s="70" t="s">
        <v>3658</v>
      </c>
      <c r="Q15" s="63"/>
      <c r="R15" s="63"/>
      <c r="S15" s="63"/>
      <c r="T15" s="63"/>
      <c r="U15" s="63"/>
      <c r="V15" s="63"/>
      <c r="W15" s="63"/>
      <c r="X15" s="63"/>
      <c r="Y15" s="63"/>
      <c r="Z15" s="63"/>
    </row>
    <row r="16" ht="18.75" customHeight="1">
      <c r="A16" s="63"/>
      <c r="B16" s="63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63"/>
      <c r="N16" s="63"/>
      <c r="O16" s="63"/>
      <c r="P16" s="63"/>
      <c r="Q16" s="63"/>
      <c r="R16" s="63"/>
      <c r="S16" s="63"/>
      <c r="T16" s="63"/>
      <c r="U16" s="63"/>
      <c r="V16" s="63"/>
      <c r="W16" s="63"/>
      <c r="X16" s="63"/>
      <c r="Y16" s="63"/>
      <c r="Z16" s="63"/>
    </row>
    <row r="17" ht="18.75" customHeight="1">
      <c r="A17" s="66" t="s">
        <v>3820</v>
      </c>
      <c r="L17" s="71"/>
      <c r="M17" s="66" t="s">
        <v>3821</v>
      </c>
      <c r="R17" s="63"/>
      <c r="S17" s="63"/>
      <c r="T17" s="63"/>
      <c r="U17" s="63"/>
      <c r="V17" s="63"/>
      <c r="W17" s="63"/>
      <c r="X17" s="63"/>
      <c r="Y17" s="63"/>
      <c r="Z17" s="63"/>
    </row>
    <row r="18" ht="18.75" customHeight="1">
      <c r="A18" s="66" t="s">
        <v>3822</v>
      </c>
      <c r="B18" s="67" t="s">
        <v>3793</v>
      </c>
      <c r="D18" s="67" t="s">
        <v>3797</v>
      </c>
      <c r="F18" s="71"/>
      <c r="G18" s="66" t="s">
        <v>3823</v>
      </c>
      <c r="H18" s="67" t="s">
        <v>3824</v>
      </c>
      <c r="J18" s="67" t="s">
        <v>3825</v>
      </c>
      <c r="L18" s="71"/>
      <c r="M18" s="66" t="s">
        <v>3826</v>
      </c>
      <c r="N18" s="67" t="s">
        <v>3793</v>
      </c>
      <c r="P18" s="67" t="s">
        <v>3797</v>
      </c>
      <c r="R18" s="63"/>
      <c r="S18" s="63"/>
      <c r="T18" s="63"/>
      <c r="U18" s="63"/>
      <c r="V18" s="63"/>
      <c r="W18" s="63"/>
      <c r="X18" s="63"/>
      <c r="Y18" s="63"/>
      <c r="Z18" s="63"/>
    </row>
    <row r="19" ht="18.75" customHeight="1">
      <c r="B19" s="68" t="s">
        <v>3827</v>
      </c>
      <c r="C19" s="68" t="s">
        <v>3828</v>
      </c>
      <c r="D19" s="68" t="s">
        <v>3827</v>
      </c>
      <c r="E19" s="68" t="s">
        <v>3828</v>
      </c>
      <c r="F19" s="71"/>
      <c r="H19" s="68" t="s">
        <v>3827</v>
      </c>
      <c r="I19" s="68" t="s">
        <v>3828</v>
      </c>
      <c r="J19" s="68" t="s">
        <v>3827</v>
      </c>
      <c r="K19" s="68" t="s">
        <v>3828</v>
      </c>
      <c r="L19" s="71"/>
      <c r="N19" s="68" t="s">
        <v>3827</v>
      </c>
      <c r="O19" s="68" t="s">
        <v>3828</v>
      </c>
      <c r="P19" s="68" t="s">
        <v>3827</v>
      </c>
      <c r="Q19" s="68" t="s">
        <v>3828</v>
      </c>
      <c r="R19" s="63"/>
      <c r="S19" s="63"/>
      <c r="T19" s="63"/>
      <c r="U19" s="63"/>
      <c r="V19" s="63"/>
      <c r="W19" s="63"/>
      <c r="X19" s="63"/>
      <c r="Y19" s="63"/>
      <c r="Z19" s="63"/>
    </row>
    <row r="20" ht="18.75" customHeight="1">
      <c r="A20" s="67" t="s">
        <v>3802</v>
      </c>
      <c r="B20" s="70" t="s">
        <v>3756</v>
      </c>
      <c r="C20" s="70" t="s">
        <v>3829</v>
      </c>
      <c r="D20" s="70" t="s">
        <v>3830</v>
      </c>
      <c r="E20" s="70" t="s">
        <v>3831</v>
      </c>
      <c r="F20" s="71"/>
      <c r="G20" s="67" t="s">
        <v>3802</v>
      </c>
      <c r="H20" s="70" t="s">
        <v>497</v>
      </c>
      <c r="I20" s="70" t="s">
        <v>3832</v>
      </c>
      <c r="J20" s="70" t="s">
        <v>3833</v>
      </c>
      <c r="K20" s="70" t="s">
        <v>3834</v>
      </c>
      <c r="L20" s="71"/>
      <c r="M20" s="67" t="s">
        <v>3802</v>
      </c>
      <c r="N20" s="70" t="s">
        <v>2250</v>
      </c>
      <c r="O20" s="70" t="s">
        <v>3835</v>
      </c>
      <c r="P20" s="70" t="s">
        <v>3836</v>
      </c>
      <c r="Q20" s="70" t="s">
        <v>3837</v>
      </c>
      <c r="R20" s="63"/>
      <c r="S20" s="63"/>
      <c r="T20" s="63"/>
      <c r="U20" s="63"/>
      <c r="V20" s="63"/>
      <c r="W20" s="63"/>
      <c r="X20" s="63"/>
      <c r="Y20" s="63"/>
      <c r="Z20" s="63"/>
    </row>
    <row r="21" ht="18.75" customHeight="1">
      <c r="A21" s="67" t="s">
        <v>3806</v>
      </c>
      <c r="B21" s="70" t="s">
        <v>3838</v>
      </c>
      <c r="C21" s="70" t="s">
        <v>3839</v>
      </c>
      <c r="F21" s="71"/>
      <c r="G21" s="67" t="s">
        <v>3806</v>
      </c>
      <c r="L21" s="71"/>
      <c r="M21" s="67" t="s">
        <v>3806</v>
      </c>
      <c r="N21" s="70" t="s">
        <v>3840</v>
      </c>
      <c r="O21" s="70" t="s">
        <v>3841</v>
      </c>
      <c r="R21" s="63"/>
      <c r="S21" s="63"/>
      <c r="T21" s="63"/>
      <c r="U21" s="63"/>
      <c r="V21" s="63"/>
      <c r="W21" s="63"/>
      <c r="X21" s="63"/>
      <c r="Y21" s="63"/>
      <c r="Z21" s="63"/>
    </row>
    <row r="22" ht="18.75" customHeight="1">
      <c r="A22" s="67" t="s">
        <v>3811</v>
      </c>
      <c r="B22" s="70" t="s">
        <v>3842</v>
      </c>
      <c r="C22" s="70" t="s">
        <v>3843</v>
      </c>
      <c r="D22" s="70" t="s">
        <v>3844</v>
      </c>
      <c r="E22" s="70" t="s">
        <v>3845</v>
      </c>
      <c r="F22" s="71"/>
      <c r="G22" s="67" t="s">
        <v>3811</v>
      </c>
      <c r="H22" s="70" t="s">
        <v>3846</v>
      </c>
      <c r="I22" s="70" t="s">
        <v>3847</v>
      </c>
      <c r="J22" s="70" t="s">
        <v>3848</v>
      </c>
      <c r="K22" s="70" t="s">
        <v>3849</v>
      </c>
      <c r="L22" s="71"/>
      <c r="M22" s="67" t="s">
        <v>3811</v>
      </c>
      <c r="N22" s="70" t="s">
        <v>2250</v>
      </c>
      <c r="O22" s="70" t="s">
        <v>3835</v>
      </c>
      <c r="P22" s="70" t="s">
        <v>3850</v>
      </c>
      <c r="Q22" s="70" t="s">
        <v>3851</v>
      </c>
      <c r="R22" s="63"/>
      <c r="S22" s="63"/>
      <c r="T22" s="63"/>
      <c r="U22" s="63"/>
      <c r="V22" s="63"/>
      <c r="W22" s="63"/>
      <c r="X22" s="63"/>
      <c r="Y22" s="63"/>
      <c r="Z22" s="63"/>
    </row>
    <row r="23" ht="18.75" customHeight="1">
      <c r="A23" s="67" t="s">
        <v>3816</v>
      </c>
      <c r="B23" s="70" t="s">
        <v>3852</v>
      </c>
      <c r="C23" s="70" t="s">
        <v>3853</v>
      </c>
      <c r="D23" s="70" t="s">
        <v>3854</v>
      </c>
      <c r="E23" s="70" t="s">
        <v>3855</v>
      </c>
      <c r="F23" s="71"/>
      <c r="G23" s="67" t="s">
        <v>3816</v>
      </c>
      <c r="H23" s="70" t="s">
        <v>3856</v>
      </c>
      <c r="I23" s="70" t="s">
        <v>3857</v>
      </c>
      <c r="J23" s="70" t="s">
        <v>497</v>
      </c>
      <c r="K23" s="70" t="s">
        <v>3858</v>
      </c>
      <c r="L23" s="71"/>
      <c r="M23" s="67" t="s">
        <v>3816</v>
      </c>
      <c r="N23" s="70" t="s">
        <v>3859</v>
      </c>
      <c r="O23" s="70" t="s">
        <v>3860</v>
      </c>
      <c r="P23" s="70" t="s">
        <v>3861</v>
      </c>
      <c r="Q23" s="70" t="s">
        <v>3862</v>
      </c>
      <c r="R23" s="63"/>
      <c r="S23" s="63"/>
      <c r="T23" s="63"/>
      <c r="U23" s="63"/>
      <c r="V23" s="63"/>
      <c r="W23" s="63"/>
      <c r="X23" s="63"/>
      <c r="Y23" s="63"/>
      <c r="Z23" s="63"/>
    </row>
    <row r="24" ht="18.75" customHeight="1">
      <c r="A24" s="71"/>
      <c r="B24" s="71"/>
      <c r="C24" s="71"/>
      <c r="D24" s="71"/>
      <c r="E24" s="71"/>
      <c r="F24" s="71"/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71"/>
      <c r="R24" s="63"/>
      <c r="S24" s="63"/>
      <c r="T24" s="63"/>
      <c r="U24" s="63"/>
      <c r="V24" s="63"/>
      <c r="W24" s="63"/>
      <c r="X24" s="63"/>
      <c r="Y24" s="63"/>
      <c r="Z24" s="63"/>
    </row>
    <row r="25" ht="18.75" customHeight="1">
      <c r="A25" s="66" t="s">
        <v>3863</v>
      </c>
      <c r="B25" s="67" t="s">
        <v>3793</v>
      </c>
      <c r="D25" s="67" t="s">
        <v>3797</v>
      </c>
      <c r="F25" s="71"/>
      <c r="G25" s="66" t="s">
        <v>3864</v>
      </c>
      <c r="H25" s="67" t="s">
        <v>3824</v>
      </c>
      <c r="J25" s="67" t="s">
        <v>3825</v>
      </c>
      <c r="L25" s="71"/>
      <c r="M25" s="66" t="s">
        <v>3865</v>
      </c>
      <c r="N25" s="67" t="s">
        <v>3824</v>
      </c>
      <c r="P25" s="67"/>
      <c r="Q25" s="67"/>
      <c r="R25" s="63"/>
      <c r="S25" s="63"/>
      <c r="T25" s="63"/>
      <c r="U25" s="63"/>
      <c r="V25" s="63"/>
      <c r="W25" s="63"/>
      <c r="X25" s="63"/>
      <c r="Y25" s="63"/>
      <c r="Z25" s="63"/>
    </row>
    <row r="26" ht="18.75" customHeight="1">
      <c r="B26" s="68" t="s">
        <v>3827</v>
      </c>
      <c r="C26" s="68" t="s">
        <v>3828</v>
      </c>
      <c r="D26" s="68" t="s">
        <v>3827</v>
      </c>
      <c r="E26" s="68" t="s">
        <v>3828</v>
      </c>
      <c r="F26" s="71"/>
      <c r="H26" s="68" t="s">
        <v>3827</v>
      </c>
      <c r="I26" s="68" t="s">
        <v>3828</v>
      </c>
      <c r="J26" s="68" t="s">
        <v>3827</v>
      </c>
      <c r="K26" s="68" t="s">
        <v>3828</v>
      </c>
      <c r="L26" s="71"/>
      <c r="N26" s="68" t="s">
        <v>3827</v>
      </c>
      <c r="O26" s="68" t="s">
        <v>3828</v>
      </c>
      <c r="P26" s="68"/>
      <c r="Q26" s="68"/>
      <c r="R26" s="63"/>
      <c r="S26" s="63"/>
      <c r="T26" s="63"/>
      <c r="U26" s="63"/>
      <c r="V26" s="63"/>
      <c r="W26" s="63"/>
      <c r="X26" s="63"/>
      <c r="Y26" s="63"/>
      <c r="Z26" s="63"/>
    </row>
    <row r="27" ht="18.75" customHeight="1">
      <c r="A27" s="67" t="s">
        <v>3802</v>
      </c>
      <c r="B27" s="70" t="s">
        <v>1760</v>
      </c>
      <c r="C27" s="70" t="s">
        <v>3866</v>
      </c>
      <c r="D27" s="70" t="s">
        <v>3867</v>
      </c>
      <c r="E27" s="70" t="s">
        <v>3868</v>
      </c>
      <c r="F27" s="71"/>
      <c r="G27" s="67" t="s">
        <v>3802</v>
      </c>
      <c r="H27" s="70" t="s">
        <v>1055</v>
      </c>
      <c r="I27" s="70" t="s">
        <v>3869</v>
      </c>
      <c r="J27" s="70" t="s">
        <v>3870</v>
      </c>
      <c r="K27" s="70" t="s">
        <v>3871</v>
      </c>
      <c r="L27" s="71"/>
      <c r="M27" s="67" t="s">
        <v>3802</v>
      </c>
      <c r="N27" s="70" t="s">
        <v>3164</v>
      </c>
      <c r="O27" s="70" t="s">
        <v>3872</v>
      </c>
      <c r="P27" s="72"/>
      <c r="Q27" s="72"/>
      <c r="R27" s="63"/>
      <c r="S27" s="63"/>
      <c r="T27" s="63"/>
      <c r="U27" s="63"/>
      <c r="V27" s="63"/>
      <c r="W27" s="63"/>
      <c r="X27" s="63"/>
      <c r="Y27" s="63"/>
      <c r="Z27" s="63"/>
    </row>
    <row r="28" ht="18.75" customHeight="1">
      <c r="A28" s="67" t="s">
        <v>3806</v>
      </c>
      <c r="B28" s="70" t="s">
        <v>3873</v>
      </c>
      <c r="F28" s="71"/>
      <c r="G28" s="67" t="s">
        <v>3806</v>
      </c>
      <c r="L28" s="71"/>
      <c r="M28" s="67" t="s">
        <v>3806</v>
      </c>
      <c r="P28" s="72"/>
      <c r="Q28" s="72"/>
      <c r="R28" s="63"/>
      <c r="S28" s="63"/>
      <c r="T28" s="63"/>
      <c r="U28" s="63"/>
      <c r="V28" s="63"/>
      <c r="W28" s="63"/>
      <c r="X28" s="63"/>
      <c r="Y28" s="63"/>
      <c r="Z28" s="63"/>
    </row>
    <row r="29" ht="18.75" customHeight="1">
      <c r="A29" s="67" t="s">
        <v>3811</v>
      </c>
      <c r="B29" s="70" t="s">
        <v>3874</v>
      </c>
      <c r="C29" s="70" t="s">
        <v>3875</v>
      </c>
      <c r="D29" s="70" t="s">
        <v>3876</v>
      </c>
      <c r="E29" s="70" t="s">
        <v>3877</v>
      </c>
      <c r="F29" s="71"/>
      <c r="G29" s="67" t="s">
        <v>3811</v>
      </c>
      <c r="H29" s="70" t="s">
        <v>3878</v>
      </c>
      <c r="I29" s="70" t="s">
        <v>3879</v>
      </c>
      <c r="J29" s="70" t="s">
        <v>3880</v>
      </c>
      <c r="K29" s="70" t="s">
        <v>3881</v>
      </c>
      <c r="L29" s="71"/>
      <c r="M29" s="67" t="s">
        <v>3811</v>
      </c>
      <c r="N29" s="70" t="s">
        <v>3882</v>
      </c>
      <c r="O29" s="70" t="s">
        <v>3883</v>
      </c>
      <c r="P29" s="72"/>
      <c r="Q29" s="72"/>
      <c r="R29" s="63"/>
      <c r="S29" s="63"/>
      <c r="T29" s="63"/>
      <c r="U29" s="63"/>
      <c r="V29" s="63"/>
      <c r="W29" s="63"/>
      <c r="X29" s="63"/>
      <c r="Y29" s="63"/>
      <c r="Z29" s="63"/>
    </row>
    <row r="30" ht="18.75" customHeight="1">
      <c r="A30" s="67" t="s">
        <v>3816</v>
      </c>
      <c r="B30" s="70" t="s">
        <v>3884</v>
      </c>
      <c r="C30" s="70" t="s">
        <v>3885</v>
      </c>
      <c r="D30" s="70" t="s">
        <v>3886</v>
      </c>
      <c r="E30" s="70" t="s">
        <v>3887</v>
      </c>
      <c r="F30" s="71"/>
      <c r="G30" s="67" t="s">
        <v>3816</v>
      </c>
      <c r="H30" s="70" t="s">
        <v>3888</v>
      </c>
      <c r="I30" s="70" t="s">
        <v>3889</v>
      </c>
      <c r="J30" s="70" t="s">
        <v>1055</v>
      </c>
      <c r="K30" s="70" t="s">
        <v>3890</v>
      </c>
      <c r="L30" s="71"/>
      <c r="M30" s="67" t="s">
        <v>3816</v>
      </c>
      <c r="N30" s="70" t="s">
        <v>3891</v>
      </c>
      <c r="O30" s="70" t="s">
        <v>3892</v>
      </c>
      <c r="P30" s="72"/>
      <c r="Q30" s="72"/>
      <c r="R30" s="63"/>
      <c r="S30" s="63"/>
      <c r="T30" s="63"/>
      <c r="U30" s="63"/>
      <c r="V30" s="63"/>
      <c r="W30" s="63"/>
      <c r="X30" s="63"/>
      <c r="Y30" s="63"/>
      <c r="Z30" s="63"/>
    </row>
    <row r="31" ht="18.75" customHeight="1">
      <c r="A31" s="71"/>
      <c r="B31" s="71"/>
      <c r="C31" s="71"/>
      <c r="D31" s="71"/>
      <c r="E31" s="71"/>
      <c r="F31" s="71"/>
      <c r="G31" s="63"/>
      <c r="H31" s="63"/>
      <c r="I31" s="63"/>
      <c r="J31" s="63"/>
      <c r="K31" s="63"/>
      <c r="L31" s="71"/>
      <c r="M31" s="71"/>
      <c r="N31" s="71"/>
      <c r="O31" s="71"/>
      <c r="P31" s="71"/>
      <c r="Q31" s="71"/>
      <c r="R31" s="63"/>
      <c r="S31" s="63"/>
      <c r="T31" s="63"/>
      <c r="U31" s="63"/>
      <c r="V31" s="63"/>
      <c r="W31" s="63"/>
      <c r="X31" s="63"/>
      <c r="Y31" s="63"/>
      <c r="Z31" s="63"/>
    </row>
    <row r="32" ht="18.75" customHeight="1">
      <c r="A32" s="67" t="s">
        <v>3893</v>
      </c>
      <c r="B32" s="67" t="s">
        <v>3793</v>
      </c>
      <c r="D32" s="67" t="s">
        <v>3797</v>
      </c>
      <c r="F32" s="71"/>
      <c r="G32" s="66" t="s">
        <v>3894</v>
      </c>
      <c r="H32" s="67" t="s">
        <v>3824</v>
      </c>
      <c r="J32" s="67" t="s">
        <v>3825</v>
      </c>
      <c r="L32" s="71"/>
      <c r="M32" s="73" t="s">
        <v>3895</v>
      </c>
      <c r="N32" s="74" t="s">
        <v>3793</v>
      </c>
      <c r="P32" s="74" t="s">
        <v>3797</v>
      </c>
      <c r="R32" s="63"/>
      <c r="S32" s="63"/>
      <c r="T32" s="63"/>
      <c r="U32" s="63"/>
      <c r="V32" s="63"/>
      <c r="W32" s="63"/>
      <c r="X32" s="63"/>
      <c r="Y32" s="63"/>
      <c r="Z32" s="63"/>
    </row>
    <row r="33" ht="18.75" customHeight="1">
      <c r="B33" s="68" t="s">
        <v>3827</v>
      </c>
      <c r="C33" s="68" t="s">
        <v>3828</v>
      </c>
      <c r="D33" s="68" t="s">
        <v>3827</v>
      </c>
      <c r="E33" s="68" t="s">
        <v>3828</v>
      </c>
      <c r="F33" s="71"/>
      <c r="H33" s="68" t="s">
        <v>3827</v>
      </c>
      <c r="I33" s="68" t="s">
        <v>3828</v>
      </c>
      <c r="J33" s="68" t="s">
        <v>3827</v>
      </c>
      <c r="K33" s="68" t="s">
        <v>3828</v>
      </c>
      <c r="L33" s="71"/>
      <c r="N33" s="75" t="s">
        <v>3827</v>
      </c>
      <c r="O33" s="75" t="s">
        <v>3828</v>
      </c>
      <c r="P33" s="75" t="s">
        <v>3827</v>
      </c>
      <c r="Q33" s="75" t="s">
        <v>3828</v>
      </c>
      <c r="R33" s="63"/>
      <c r="S33" s="63"/>
      <c r="T33" s="63"/>
      <c r="U33" s="63"/>
      <c r="V33" s="63"/>
      <c r="W33" s="63"/>
      <c r="X33" s="63"/>
      <c r="Y33" s="63"/>
      <c r="Z33" s="63"/>
    </row>
    <row r="34" ht="18.75" customHeight="1">
      <c r="A34" s="67" t="s">
        <v>3802</v>
      </c>
      <c r="B34" s="70" t="s">
        <v>2010</v>
      </c>
      <c r="C34" s="70" t="s">
        <v>3896</v>
      </c>
      <c r="D34" s="70" t="s">
        <v>3897</v>
      </c>
      <c r="E34" s="70" t="s">
        <v>3898</v>
      </c>
      <c r="F34" s="71"/>
      <c r="G34" s="67" t="s">
        <v>3802</v>
      </c>
      <c r="H34" s="70" t="s">
        <v>2120</v>
      </c>
      <c r="I34" s="70" t="s">
        <v>3899</v>
      </c>
      <c r="J34" s="70" t="s">
        <v>3900</v>
      </c>
      <c r="K34" s="70" t="s">
        <v>3901</v>
      </c>
      <c r="L34" s="71"/>
      <c r="M34" s="74" t="s">
        <v>3802</v>
      </c>
      <c r="N34" s="62" t="s">
        <v>1802</v>
      </c>
      <c r="O34" s="62" t="s">
        <v>3902</v>
      </c>
      <c r="P34" s="62" t="s">
        <v>3903</v>
      </c>
      <c r="Q34" s="62" t="s">
        <v>3904</v>
      </c>
      <c r="R34" s="63"/>
      <c r="S34" s="63"/>
      <c r="T34" s="63"/>
      <c r="U34" s="63"/>
      <c r="V34" s="63"/>
      <c r="W34" s="63"/>
      <c r="X34" s="63"/>
      <c r="Y34" s="63"/>
      <c r="Z34" s="63"/>
    </row>
    <row r="35" ht="18.75" customHeight="1">
      <c r="A35" s="67" t="s">
        <v>3806</v>
      </c>
      <c r="B35" s="70" t="s">
        <v>3905</v>
      </c>
      <c r="F35" s="71"/>
      <c r="G35" s="67" t="s">
        <v>3806</v>
      </c>
      <c r="L35" s="71"/>
      <c r="M35" s="74" t="s">
        <v>3806</v>
      </c>
      <c r="R35" s="63"/>
      <c r="S35" s="63"/>
      <c r="T35" s="63"/>
      <c r="U35" s="63"/>
      <c r="V35" s="63"/>
      <c r="W35" s="63"/>
      <c r="X35" s="63"/>
      <c r="Y35" s="63"/>
      <c r="Z35" s="63"/>
    </row>
    <row r="36" ht="18.75" customHeight="1">
      <c r="A36" s="67" t="s">
        <v>3811</v>
      </c>
      <c r="B36" s="70" t="s">
        <v>3906</v>
      </c>
      <c r="C36" s="70" t="s">
        <v>3907</v>
      </c>
      <c r="D36" s="70" t="s">
        <v>3908</v>
      </c>
      <c r="E36" s="70" t="s">
        <v>3909</v>
      </c>
      <c r="F36" s="71"/>
      <c r="G36" s="67" t="s">
        <v>3811</v>
      </c>
      <c r="H36" s="70" t="s">
        <v>3910</v>
      </c>
      <c r="I36" s="70" t="s">
        <v>3911</v>
      </c>
      <c r="J36" s="70" t="s">
        <v>3912</v>
      </c>
      <c r="K36" s="70" t="s">
        <v>3913</v>
      </c>
      <c r="L36" s="71"/>
      <c r="M36" s="74" t="s">
        <v>3811</v>
      </c>
      <c r="N36" s="62" t="s">
        <v>1802</v>
      </c>
      <c r="O36" s="62" t="s">
        <v>3914</v>
      </c>
      <c r="P36" s="62" t="s">
        <v>3915</v>
      </c>
      <c r="Q36" s="62" t="s">
        <v>3916</v>
      </c>
      <c r="R36" s="63"/>
      <c r="S36" s="63"/>
      <c r="T36" s="63"/>
      <c r="U36" s="63"/>
      <c r="V36" s="63"/>
      <c r="W36" s="63"/>
      <c r="X36" s="63"/>
      <c r="Y36" s="63"/>
      <c r="Z36" s="63"/>
    </row>
    <row r="37" ht="18.75" customHeight="1">
      <c r="A37" s="67" t="s">
        <v>3816</v>
      </c>
      <c r="B37" s="70" t="s">
        <v>3917</v>
      </c>
      <c r="C37" s="70" t="s">
        <v>3918</v>
      </c>
      <c r="D37" s="70" t="s">
        <v>3919</v>
      </c>
      <c r="E37" s="70" t="s">
        <v>3920</v>
      </c>
      <c r="F37" s="71"/>
      <c r="G37" s="67" t="s">
        <v>3816</v>
      </c>
      <c r="H37" s="70" t="s">
        <v>3921</v>
      </c>
      <c r="I37" s="70" t="s">
        <v>3922</v>
      </c>
      <c r="J37" s="70" t="s">
        <v>2120</v>
      </c>
      <c r="K37" s="70" t="s">
        <v>3923</v>
      </c>
      <c r="L37" s="71"/>
      <c r="M37" s="74" t="s">
        <v>3816</v>
      </c>
      <c r="N37" s="62" t="s">
        <v>3924</v>
      </c>
      <c r="O37" s="62" t="s">
        <v>3925</v>
      </c>
      <c r="P37" s="62" t="s">
        <v>3926</v>
      </c>
      <c r="Q37" s="62" t="s">
        <v>3927</v>
      </c>
      <c r="R37" s="63"/>
      <c r="S37" s="63"/>
      <c r="T37" s="63"/>
      <c r="U37" s="63"/>
      <c r="V37" s="63"/>
      <c r="W37" s="63"/>
      <c r="X37" s="63"/>
      <c r="Y37" s="63"/>
      <c r="Z37" s="63"/>
    </row>
    <row r="38" ht="18.75" customHeight="1">
      <c r="A38" s="71"/>
      <c r="B38" s="71"/>
      <c r="C38" s="71"/>
      <c r="D38" s="71"/>
      <c r="E38" s="71"/>
      <c r="F38" s="71"/>
      <c r="L38" s="71"/>
      <c r="M38" s="71"/>
      <c r="N38" s="71"/>
      <c r="O38" s="71"/>
      <c r="P38" s="71"/>
      <c r="Q38" s="71"/>
      <c r="R38" s="63"/>
      <c r="S38" s="63"/>
      <c r="T38" s="63"/>
      <c r="U38" s="63"/>
      <c r="V38" s="63"/>
      <c r="W38" s="63"/>
      <c r="X38" s="63"/>
      <c r="Y38" s="63"/>
      <c r="Z38" s="63"/>
    </row>
    <row r="39" ht="18.75" customHeight="1">
      <c r="A39" s="76" t="s">
        <v>3776</v>
      </c>
      <c r="B39" s="71"/>
      <c r="C39" s="71"/>
      <c r="D39" s="71"/>
      <c r="E39" s="71"/>
      <c r="F39" s="71"/>
      <c r="G39" s="66" t="s">
        <v>3928</v>
      </c>
      <c r="H39" s="67" t="s">
        <v>3793</v>
      </c>
      <c r="J39" s="67" t="s">
        <v>3797</v>
      </c>
      <c r="L39" s="71"/>
      <c r="M39" s="71"/>
      <c r="N39" s="71"/>
      <c r="O39" s="71"/>
      <c r="P39" s="71"/>
      <c r="Q39" s="71"/>
      <c r="R39" s="63"/>
      <c r="S39" s="63"/>
      <c r="T39" s="63"/>
      <c r="U39" s="63"/>
      <c r="V39" s="63"/>
      <c r="W39" s="63"/>
      <c r="X39" s="63"/>
      <c r="Y39" s="63"/>
      <c r="Z39" s="63"/>
    </row>
    <row r="40" ht="18.75" customHeight="1">
      <c r="A40" s="77" t="s">
        <v>3929</v>
      </c>
      <c r="H40" s="68" t="s">
        <v>3827</v>
      </c>
      <c r="I40" s="68" t="s">
        <v>3828</v>
      </c>
      <c r="J40" s="68" t="s">
        <v>3827</v>
      </c>
      <c r="K40" s="68" t="s">
        <v>3828</v>
      </c>
      <c r="L40" s="71"/>
      <c r="M40" s="71"/>
      <c r="N40" s="71"/>
      <c r="O40" s="71"/>
      <c r="P40" s="71"/>
      <c r="Q40" s="71"/>
      <c r="R40" s="63"/>
      <c r="S40" s="63"/>
      <c r="T40" s="63"/>
      <c r="U40" s="63"/>
      <c r="V40" s="63"/>
      <c r="W40" s="63"/>
      <c r="X40" s="63"/>
      <c r="Y40" s="63"/>
      <c r="Z40" s="63"/>
    </row>
    <row r="41" ht="18.75" customHeight="1">
      <c r="A41" s="43" t="s">
        <v>3930</v>
      </c>
      <c r="G41" s="67" t="s">
        <v>3802</v>
      </c>
      <c r="H41" s="70" t="s">
        <v>2004</v>
      </c>
      <c r="I41" s="70" t="s">
        <v>3931</v>
      </c>
      <c r="J41" s="70" t="s">
        <v>3932</v>
      </c>
      <c r="K41" s="70" t="s">
        <v>3933</v>
      </c>
      <c r="L41" s="63"/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63"/>
      <c r="Z41" s="63"/>
    </row>
    <row r="42" ht="18.75" customHeight="1">
      <c r="A42" s="63"/>
      <c r="B42" s="63"/>
      <c r="C42" s="63"/>
      <c r="D42" s="63"/>
      <c r="E42" s="63"/>
      <c r="F42" s="63"/>
      <c r="G42" s="67" t="s">
        <v>3806</v>
      </c>
      <c r="L42" s="63"/>
      <c r="M42" s="63"/>
      <c r="N42" s="63"/>
      <c r="O42" s="63"/>
      <c r="P42" s="63"/>
      <c r="Q42" s="63"/>
      <c r="R42" s="63"/>
      <c r="S42" s="63"/>
      <c r="T42" s="63"/>
      <c r="U42" s="63"/>
      <c r="V42" s="63"/>
      <c r="W42" s="63"/>
      <c r="X42" s="63"/>
      <c r="Y42" s="63"/>
      <c r="Z42" s="63"/>
    </row>
    <row r="43" ht="18.75" customHeight="1">
      <c r="F43" s="63"/>
      <c r="G43" s="67" t="s">
        <v>3811</v>
      </c>
      <c r="H43" s="70" t="s">
        <v>3934</v>
      </c>
      <c r="I43" s="70" t="s">
        <v>3935</v>
      </c>
      <c r="J43" s="70" t="s">
        <v>3936</v>
      </c>
      <c r="K43" s="70" t="s">
        <v>3937</v>
      </c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63"/>
      <c r="Z43" s="63"/>
    </row>
    <row r="44" ht="18.75" customHeight="1">
      <c r="F44" s="63"/>
      <c r="G44" s="67" t="s">
        <v>3816</v>
      </c>
      <c r="H44" s="70" t="s">
        <v>3938</v>
      </c>
      <c r="I44" s="70" t="s">
        <v>3939</v>
      </c>
      <c r="J44" s="70" t="s">
        <v>2004</v>
      </c>
      <c r="K44" s="70" t="s">
        <v>3940</v>
      </c>
      <c r="L44" s="63"/>
      <c r="M44" s="63"/>
      <c r="N44" s="63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63"/>
      <c r="Z44" s="63"/>
    </row>
    <row r="45" ht="18.75" customHeight="1">
      <c r="F45" s="63"/>
      <c r="G45" s="71"/>
      <c r="H45" s="71"/>
      <c r="I45" s="71"/>
      <c r="J45" s="71"/>
      <c r="K45" s="71"/>
      <c r="L45" s="63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63"/>
      <c r="Z45" s="63"/>
    </row>
    <row r="46" ht="18.75" customHeight="1">
      <c r="F46" s="63"/>
      <c r="G46" s="66" t="s">
        <v>3941</v>
      </c>
      <c r="H46" s="67" t="s">
        <v>3793</v>
      </c>
      <c r="J46" s="67" t="s">
        <v>3797</v>
      </c>
      <c r="L46" s="63"/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63"/>
      <c r="Z46" s="63"/>
    </row>
    <row r="47" ht="18.75" customHeight="1">
      <c r="F47" s="63"/>
      <c r="H47" s="68" t="s">
        <v>3827</v>
      </c>
      <c r="I47" s="68" t="s">
        <v>3828</v>
      </c>
      <c r="J47" s="68" t="s">
        <v>3827</v>
      </c>
      <c r="K47" s="68" t="s">
        <v>3828</v>
      </c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63"/>
      <c r="Z47" s="63"/>
    </row>
    <row r="48" ht="18.75" customHeight="1">
      <c r="F48" s="63"/>
      <c r="G48" s="67" t="s">
        <v>3802</v>
      </c>
      <c r="H48" s="70" t="s">
        <v>3222</v>
      </c>
      <c r="I48" s="70" t="s">
        <v>3942</v>
      </c>
      <c r="J48" s="70" t="s">
        <v>3943</v>
      </c>
      <c r="K48" s="70" t="s">
        <v>3944</v>
      </c>
      <c r="L48" s="63"/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</row>
    <row r="49" ht="18.75" customHeight="1">
      <c r="F49" s="63"/>
      <c r="G49" s="67" t="s">
        <v>3806</v>
      </c>
      <c r="L49" s="63"/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</row>
    <row r="50" ht="18.75" customHeight="1">
      <c r="F50" s="63"/>
      <c r="G50" s="67" t="s">
        <v>3811</v>
      </c>
      <c r="H50" s="70" t="s">
        <v>3945</v>
      </c>
      <c r="I50" s="70" t="s">
        <v>3946</v>
      </c>
      <c r="J50" s="70" t="s">
        <v>3947</v>
      </c>
      <c r="K50" s="70" t="s">
        <v>3948</v>
      </c>
      <c r="L50" s="63"/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</row>
    <row r="51" ht="18.75" customHeight="1">
      <c r="A51" s="63"/>
      <c r="B51" s="63"/>
      <c r="C51" s="63"/>
      <c r="D51" s="63"/>
      <c r="E51" s="63"/>
      <c r="F51" s="63"/>
      <c r="G51" s="67" t="s">
        <v>3816</v>
      </c>
      <c r="H51" s="70" t="s">
        <v>3949</v>
      </c>
      <c r="I51" s="70" t="s">
        <v>3950</v>
      </c>
      <c r="J51" s="70" t="s">
        <v>3951</v>
      </c>
      <c r="K51" s="70" t="s">
        <v>3952</v>
      </c>
      <c r="L51" s="63"/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</row>
    <row r="52" ht="18.75" customHeight="1">
      <c r="A52" s="63"/>
      <c r="B52" s="63"/>
      <c r="C52" s="63"/>
      <c r="D52" s="63"/>
      <c r="E52" s="63"/>
      <c r="F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63"/>
      <c r="Z52" s="63"/>
    </row>
    <row r="53" ht="18.75" customHeight="1">
      <c r="A53" s="63"/>
      <c r="B53" s="63"/>
      <c r="C53" s="63"/>
      <c r="D53" s="63"/>
      <c r="E53" s="63"/>
      <c r="F53" s="63"/>
      <c r="L53" s="63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</row>
    <row r="54" ht="18.75" customHeight="1">
      <c r="A54" s="63"/>
      <c r="B54" s="63"/>
      <c r="C54" s="63"/>
      <c r="D54" s="63"/>
      <c r="E54" s="63"/>
      <c r="F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</row>
    <row r="55" ht="18.75" customHeight="1">
      <c r="A55" s="63"/>
      <c r="B55" s="63"/>
      <c r="C55" s="63"/>
      <c r="D55" s="63"/>
      <c r="E55" s="63"/>
      <c r="F55" s="63"/>
      <c r="L55" s="63"/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</row>
    <row r="56" ht="18.75" customHeight="1">
      <c r="A56" s="63"/>
      <c r="B56" s="63"/>
      <c r="C56" s="63"/>
      <c r="D56" s="63"/>
      <c r="E56" s="63"/>
      <c r="F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</row>
    <row r="57" ht="18.75" customHeight="1">
      <c r="A57" s="63"/>
      <c r="B57" s="63"/>
      <c r="C57" s="63"/>
      <c r="D57" s="63"/>
      <c r="E57" s="63"/>
      <c r="F57" s="63"/>
      <c r="L57" s="63"/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</row>
    <row r="58" ht="18.75" customHeight="1">
      <c r="A58" s="63"/>
      <c r="B58" s="63"/>
      <c r="C58" s="63"/>
      <c r="D58" s="63"/>
      <c r="E58" s="63"/>
      <c r="F58" s="63"/>
      <c r="L58" s="63"/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</row>
    <row r="59" ht="18.75" customHeight="1">
      <c r="A59" s="63"/>
      <c r="B59" s="63"/>
      <c r="C59" s="63"/>
      <c r="D59" s="63"/>
      <c r="E59" s="63"/>
      <c r="F59" s="63"/>
      <c r="G59" s="63"/>
      <c r="H59" s="63"/>
      <c r="I59" s="63"/>
      <c r="J59" s="63"/>
      <c r="K59" s="63"/>
      <c r="L59" s="63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</row>
    <row r="60" ht="18.75" customHeight="1">
      <c r="A60" s="63"/>
      <c r="B60" s="63"/>
      <c r="C60" s="63"/>
      <c r="D60" s="63"/>
      <c r="E60" s="63"/>
      <c r="F60" s="63"/>
      <c r="G60" s="63"/>
      <c r="H60" s="63"/>
      <c r="I60" s="63"/>
      <c r="J60" s="63"/>
      <c r="K60" s="63"/>
      <c r="L60" s="63"/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</row>
    <row r="61" ht="18.75" customHeight="1">
      <c r="A61" s="63"/>
      <c r="B61" s="63"/>
      <c r="C61" s="63"/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</row>
    <row r="62" ht="18.75" customHeight="1">
      <c r="A62" s="63"/>
      <c r="B62" s="63"/>
      <c r="C62" s="63"/>
      <c r="D62" s="63"/>
      <c r="E62" s="63"/>
      <c r="F62" s="63"/>
      <c r="G62" s="63"/>
      <c r="H62" s="63"/>
      <c r="I62" s="63"/>
      <c r="J62" s="63"/>
      <c r="K62" s="63"/>
      <c r="L62" s="63"/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</row>
    <row r="63" ht="18.75" customHeight="1">
      <c r="A63" s="63"/>
      <c r="B63" s="63"/>
      <c r="C63" s="63"/>
      <c r="D63" s="63"/>
      <c r="E63" s="63"/>
      <c r="F63" s="63"/>
      <c r="G63" s="63"/>
      <c r="H63" s="63"/>
      <c r="I63" s="63"/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</row>
    <row r="64" ht="18.75" customHeight="1">
      <c r="A64" s="63"/>
      <c r="B64" s="63"/>
      <c r="C64" s="63"/>
      <c r="D64" s="63"/>
      <c r="E64" s="63"/>
      <c r="F64" s="63"/>
      <c r="G64" s="63"/>
      <c r="H64" s="63"/>
      <c r="I64" s="63"/>
      <c r="J64" s="63"/>
      <c r="K64" s="63"/>
      <c r="L64" s="63"/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</row>
    <row r="65" ht="18.75" customHeight="1">
      <c r="A65" s="63"/>
      <c r="B65" s="63"/>
      <c r="C65" s="63"/>
      <c r="D65" s="63"/>
      <c r="E65" s="63"/>
      <c r="F65" s="63"/>
      <c r="G65" s="63"/>
      <c r="H65" s="63"/>
      <c r="I65" s="63"/>
      <c r="J65" s="63"/>
      <c r="K65" s="63"/>
      <c r="L65" s="63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</row>
    <row r="66" ht="18.75" customHeight="1">
      <c r="A66" s="63"/>
      <c r="B66" s="63"/>
      <c r="C66" s="63"/>
      <c r="D66" s="63"/>
      <c r="E66" s="63"/>
      <c r="F66" s="63"/>
      <c r="G66" s="63"/>
      <c r="H66" s="63"/>
      <c r="I66" s="63"/>
      <c r="J66" s="63"/>
      <c r="K66" s="63"/>
      <c r="L66" s="63"/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</row>
    <row r="67" ht="18.75" customHeight="1">
      <c r="A67" s="63"/>
      <c r="B67" s="63"/>
      <c r="C67" s="63"/>
      <c r="D67" s="63"/>
      <c r="E67" s="63"/>
      <c r="F67" s="63"/>
      <c r="G67" s="63"/>
      <c r="H67" s="63"/>
      <c r="I67" s="63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63"/>
      <c r="Z67" s="63"/>
    </row>
    <row r="68" ht="18.75" customHeight="1">
      <c r="A68" s="63"/>
      <c r="B68" s="63"/>
      <c r="C68" s="63"/>
      <c r="D68" s="63"/>
      <c r="E68" s="63"/>
      <c r="F68" s="63"/>
      <c r="G68" s="63"/>
      <c r="H68" s="63"/>
      <c r="I68" s="63"/>
      <c r="J68" s="63"/>
      <c r="K68" s="63"/>
      <c r="L68" s="63"/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  <c r="X68" s="63"/>
      <c r="Y68" s="63"/>
      <c r="Z68" s="63"/>
    </row>
    <row r="69" ht="18.75" customHeight="1">
      <c r="A69" s="63"/>
      <c r="B69" s="63"/>
      <c r="C69" s="63"/>
      <c r="D69" s="63"/>
      <c r="E69" s="63"/>
      <c r="F69" s="63"/>
      <c r="G69" s="63"/>
      <c r="H69" s="63"/>
      <c r="I69" s="63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</row>
    <row r="70" ht="18.75" customHeight="1">
      <c r="A70" s="63"/>
      <c r="B70" s="63"/>
      <c r="C70" s="63"/>
      <c r="D70" s="63"/>
      <c r="E70" s="63"/>
      <c r="F70" s="63"/>
      <c r="G70" s="63"/>
      <c r="H70" s="63"/>
      <c r="I70" s="63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</row>
    <row r="71" ht="18.75" customHeight="1">
      <c r="A71" s="63"/>
      <c r="B71" s="63"/>
      <c r="C71" s="63"/>
      <c r="D71" s="63"/>
      <c r="E71" s="63"/>
      <c r="F71" s="63"/>
      <c r="G71" s="63"/>
      <c r="H71" s="63"/>
      <c r="I71" s="63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</row>
    <row r="72" ht="18.75" customHeight="1">
      <c r="A72" s="63"/>
      <c r="B72" s="63"/>
      <c r="C72" s="63"/>
      <c r="D72" s="63"/>
      <c r="E72" s="63"/>
      <c r="F72" s="63"/>
      <c r="G72" s="63"/>
      <c r="H72" s="63"/>
      <c r="I72" s="63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63"/>
      <c r="Z72" s="63"/>
    </row>
    <row r="73" ht="18.75" customHeight="1">
      <c r="A73" s="63"/>
      <c r="B73" s="63"/>
      <c r="C73" s="63"/>
      <c r="D73" s="63"/>
      <c r="E73" s="63"/>
      <c r="F73" s="63"/>
      <c r="G73" s="63"/>
      <c r="H73" s="63"/>
      <c r="I73" s="63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63"/>
      <c r="Z73" s="63"/>
    </row>
    <row r="74" ht="18.75" customHeight="1">
      <c r="A74" s="63"/>
      <c r="B74" s="63"/>
      <c r="C74" s="63"/>
      <c r="D74" s="63"/>
      <c r="E74" s="63"/>
      <c r="F74" s="63"/>
      <c r="G74" s="63"/>
      <c r="H74" s="63"/>
      <c r="I74" s="63"/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  <c r="Y74" s="63"/>
      <c r="Z74" s="63"/>
    </row>
    <row r="75" ht="18.75" customHeight="1">
      <c r="A75" s="63"/>
      <c r="B75" s="63"/>
      <c r="C75" s="63"/>
      <c r="D75" s="63"/>
      <c r="E75" s="63"/>
      <c r="F75" s="63"/>
      <c r="G75" s="63"/>
      <c r="H75" s="63"/>
      <c r="I75" s="63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63"/>
      <c r="Z75" s="63"/>
    </row>
    <row r="76" ht="18.75" customHeight="1">
      <c r="A76" s="63"/>
      <c r="B76" s="63"/>
      <c r="C76" s="63"/>
      <c r="D76" s="63"/>
      <c r="E76" s="63"/>
      <c r="F76" s="63"/>
      <c r="G76" s="63"/>
      <c r="H76" s="63"/>
      <c r="I76" s="63"/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63"/>
      <c r="Z76" s="63"/>
    </row>
    <row r="77" ht="18.75" customHeight="1">
      <c r="A77" s="63"/>
      <c r="B77" s="63"/>
      <c r="C77" s="63"/>
      <c r="D77" s="63"/>
      <c r="E77" s="63"/>
      <c r="F77" s="63"/>
      <c r="G77" s="63"/>
      <c r="H77" s="63"/>
      <c r="I77" s="63"/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63"/>
      <c r="Z77" s="63"/>
    </row>
    <row r="78" ht="18.75" customHeight="1">
      <c r="A78" s="63"/>
      <c r="B78" s="63"/>
      <c r="C78" s="63"/>
      <c r="D78" s="63"/>
      <c r="E78" s="63"/>
      <c r="F78" s="63"/>
      <c r="G78" s="63"/>
      <c r="H78" s="63"/>
      <c r="I78" s="63"/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3"/>
      <c r="Y78" s="63"/>
      <c r="Z78" s="63"/>
    </row>
    <row r="79" ht="18.75" customHeight="1">
      <c r="A79" s="63"/>
      <c r="B79" s="63"/>
      <c r="C79" s="63"/>
      <c r="D79" s="63"/>
      <c r="E79" s="63"/>
      <c r="F79" s="63"/>
      <c r="G79" s="63"/>
      <c r="H79" s="63"/>
      <c r="I79" s="63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63"/>
      <c r="Z79" s="63"/>
    </row>
    <row r="80" ht="18.75" customHeight="1">
      <c r="A80" s="63"/>
      <c r="B80" s="63"/>
      <c r="C80" s="63"/>
      <c r="D80" s="63"/>
      <c r="E80" s="63"/>
      <c r="F80" s="63"/>
      <c r="G80" s="63"/>
      <c r="H80" s="63"/>
      <c r="I80" s="63"/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3"/>
      <c r="Y80" s="63"/>
      <c r="Z80" s="63"/>
    </row>
    <row r="81" ht="18.75" customHeight="1">
      <c r="A81" s="63"/>
      <c r="B81" s="63"/>
      <c r="C81" s="63"/>
      <c r="D81" s="63"/>
      <c r="E81" s="63"/>
      <c r="F81" s="63"/>
      <c r="G81" s="63"/>
      <c r="H81" s="63"/>
      <c r="I81" s="63"/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63"/>
      <c r="Z81" s="63"/>
    </row>
    <row r="82" ht="18.75" customHeight="1">
      <c r="A82" s="63"/>
      <c r="B82" s="63"/>
      <c r="C82" s="63"/>
      <c r="D82" s="63"/>
      <c r="E82" s="63"/>
      <c r="F82" s="63"/>
      <c r="G82" s="63"/>
      <c r="H82" s="63"/>
      <c r="I82" s="63"/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Y82" s="63"/>
      <c r="Z82" s="63"/>
    </row>
    <row r="83" ht="18.75" customHeight="1">
      <c r="A83" s="63"/>
      <c r="B83" s="63"/>
      <c r="C83" s="63"/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63"/>
      <c r="Z83" s="63"/>
    </row>
    <row r="84" ht="18.75" customHeight="1">
      <c r="A84" s="63"/>
      <c r="B84" s="63"/>
      <c r="C84" s="63"/>
      <c r="D84" s="63"/>
      <c r="E84" s="63"/>
      <c r="F84" s="63"/>
      <c r="G84" s="63"/>
      <c r="H84" s="63"/>
      <c r="I84" s="63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</row>
    <row r="85" ht="18.75" customHeight="1">
      <c r="A85" s="63"/>
      <c r="B85" s="63"/>
      <c r="C85" s="63"/>
      <c r="D85" s="63"/>
      <c r="E85" s="63"/>
      <c r="F85" s="63"/>
      <c r="G85" s="63"/>
      <c r="H85" s="63"/>
      <c r="I85" s="63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</row>
    <row r="86" ht="18.75" customHeight="1">
      <c r="A86" s="63"/>
      <c r="B86" s="63"/>
      <c r="C86" s="63"/>
      <c r="D86" s="63"/>
      <c r="E86" s="63"/>
      <c r="F86" s="63"/>
      <c r="G86" s="63"/>
      <c r="H86" s="63"/>
      <c r="I86" s="63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63"/>
      <c r="Z86" s="63"/>
    </row>
    <row r="87" ht="18.75" customHeight="1">
      <c r="A87" s="63"/>
      <c r="B87" s="63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63"/>
      <c r="Z87" s="63"/>
    </row>
    <row r="88" ht="18.75" customHeight="1">
      <c r="A88" s="63"/>
      <c r="B88" s="63"/>
      <c r="C88" s="63"/>
      <c r="D88" s="63"/>
      <c r="E88" s="63"/>
      <c r="F88" s="63"/>
      <c r="G88" s="63"/>
      <c r="H88" s="63"/>
      <c r="I88" s="63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63"/>
      <c r="Z88" s="63"/>
    </row>
    <row r="89" ht="18.75" customHeight="1">
      <c r="A89" s="63"/>
      <c r="B89" s="63"/>
      <c r="C89" s="63"/>
      <c r="D89" s="63"/>
      <c r="E89" s="63"/>
      <c r="F89" s="63"/>
      <c r="G89" s="63"/>
      <c r="H89" s="63"/>
      <c r="I89" s="63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63"/>
      <c r="Z89" s="63"/>
    </row>
    <row r="90" ht="18.75" customHeight="1">
      <c r="A90" s="63"/>
      <c r="B90" s="63"/>
      <c r="C90" s="63"/>
      <c r="D90" s="63"/>
      <c r="E90" s="63"/>
      <c r="F90" s="63"/>
      <c r="G90" s="63"/>
      <c r="H90" s="63"/>
      <c r="I90" s="63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  <c r="V90" s="63"/>
      <c r="W90" s="63"/>
      <c r="X90" s="63"/>
      <c r="Y90" s="63"/>
      <c r="Z90" s="63"/>
    </row>
    <row r="91" ht="18.75" customHeight="1">
      <c r="A91" s="63"/>
      <c r="B91" s="63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63"/>
      <c r="Z91" s="63"/>
    </row>
    <row r="92" ht="18.75" customHeight="1">
      <c r="A92" s="63"/>
      <c r="B92" s="63"/>
      <c r="C92" s="63"/>
      <c r="D92" s="63"/>
      <c r="E92" s="63"/>
      <c r="F92" s="63"/>
      <c r="G92" s="63"/>
      <c r="H92" s="63"/>
      <c r="I92" s="63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63"/>
      <c r="X92" s="63"/>
      <c r="Y92" s="63"/>
      <c r="Z92" s="63"/>
    </row>
    <row r="93" ht="18.75" customHeight="1">
      <c r="A93" s="63"/>
      <c r="B93" s="63"/>
      <c r="C93" s="63"/>
      <c r="D93" s="63"/>
      <c r="E93" s="63"/>
      <c r="F93" s="63"/>
      <c r="G93" s="63"/>
      <c r="H93" s="63"/>
      <c r="I93" s="63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63"/>
      <c r="Z93" s="63"/>
    </row>
    <row r="94" ht="18.75" customHeight="1">
      <c r="A94" s="63"/>
      <c r="B94" s="63"/>
      <c r="C94" s="63"/>
      <c r="D94" s="63"/>
      <c r="E94" s="63"/>
      <c r="F94" s="63"/>
      <c r="G94" s="63"/>
      <c r="H94" s="63"/>
      <c r="I94" s="63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  <c r="V94" s="63"/>
      <c r="W94" s="63"/>
      <c r="X94" s="63"/>
      <c r="Y94" s="63"/>
      <c r="Z94" s="63"/>
    </row>
    <row r="95" ht="18.75" customHeight="1">
      <c r="A95" s="63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63"/>
      <c r="Z95" s="63"/>
    </row>
    <row r="96" ht="18.75" customHeight="1">
      <c r="A96" s="63"/>
      <c r="B96" s="63"/>
      <c r="C96" s="63"/>
      <c r="D96" s="63"/>
      <c r="E96" s="63"/>
      <c r="F96" s="63"/>
      <c r="G96" s="63"/>
      <c r="H96" s="63"/>
      <c r="I96" s="63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  <c r="X96" s="63"/>
      <c r="Y96" s="63"/>
      <c r="Z96" s="63"/>
    </row>
    <row r="97" ht="18.75" customHeight="1">
      <c r="A97" s="63"/>
      <c r="B97" s="63"/>
      <c r="C97" s="63"/>
      <c r="D97" s="63"/>
      <c r="E97" s="63"/>
      <c r="F97" s="63"/>
      <c r="G97" s="63"/>
      <c r="H97" s="63"/>
      <c r="I97" s="63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63"/>
      <c r="Z97" s="63"/>
    </row>
    <row r="98" ht="18.75" customHeight="1">
      <c r="A98" s="63"/>
      <c r="B98" s="63"/>
      <c r="C98" s="63"/>
      <c r="D98" s="63"/>
      <c r="E98" s="63"/>
      <c r="F98" s="63"/>
      <c r="G98" s="63"/>
      <c r="H98" s="63"/>
      <c r="I98" s="63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63"/>
      <c r="X98" s="63"/>
      <c r="Y98" s="63"/>
      <c r="Z98" s="63"/>
    </row>
    <row r="99" ht="18.75" customHeight="1">
      <c r="A99" s="63"/>
      <c r="B99" s="63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63"/>
      <c r="Z99" s="63"/>
    </row>
    <row r="100" ht="18.75" customHeight="1">
      <c r="A100" s="63"/>
      <c r="B100" s="63"/>
      <c r="C100" s="63"/>
      <c r="D100" s="63"/>
      <c r="E100" s="63"/>
      <c r="F100" s="63"/>
      <c r="G100" s="63"/>
      <c r="H100" s="63"/>
      <c r="I100" s="63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63"/>
      <c r="Z100" s="63"/>
    </row>
  </sheetData>
  <mergeCells count="101">
    <mergeCell ref="H10:H11"/>
    <mergeCell ref="I10:I11"/>
    <mergeCell ref="J10:J11"/>
    <mergeCell ref="K10:K11"/>
    <mergeCell ref="A17:K17"/>
    <mergeCell ref="A18:A19"/>
    <mergeCell ref="B18:C18"/>
    <mergeCell ref="D18:E18"/>
    <mergeCell ref="G18:G19"/>
    <mergeCell ref="A1:B1"/>
    <mergeCell ref="A2:B2"/>
    <mergeCell ref="A3:B3"/>
    <mergeCell ref="C3:G3"/>
    <mergeCell ref="B4:H4"/>
    <mergeCell ref="B5:H5"/>
    <mergeCell ref="B6:H6"/>
    <mergeCell ref="L10:L11"/>
    <mergeCell ref="M10:M11"/>
    <mergeCell ref="M12:M13"/>
    <mergeCell ref="L14:M14"/>
    <mergeCell ref="L15:M15"/>
    <mergeCell ref="N10:N11"/>
    <mergeCell ref="O10:O11"/>
    <mergeCell ref="P12:P13"/>
    <mergeCell ref="O14:P14"/>
    <mergeCell ref="O15:P15"/>
    <mergeCell ref="M17:Q17"/>
    <mergeCell ref="A9:J9"/>
    <mergeCell ref="K9:P9"/>
    <mergeCell ref="A10:A11"/>
    <mergeCell ref="B10:B11"/>
    <mergeCell ref="C10:C11"/>
    <mergeCell ref="D10:F10"/>
    <mergeCell ref="G10:G11"/>
    <mergeCell ref="P10:P11"/>
    <mergeCell ref="H18:I18"/>
    <mergeCell ref="J18:K18"/>
    <mergeCell ref="M18:M19"/>
    <mergeCell ref="N18:O18"/>
    <mergeCell ref="P18:Q18"/>
    <mergeCell ref="D20:D21"/>
    <mergeCell ref="E20:E21"/>
    <mergeCell ref="H20:H21"/>
    <mergeCell ref="I20:I21"/>
    <mergeCell ref="J20:J21"/>
    <mergeCell ref="K20:K21"/>
    <mergeCell ref="P20:P21"/>
    <mergeCell ref="Q20:Q21"/>
    <mergeCell ref="K27:K28"/>
    <mergeCell ref="N27:N28"/>
    <mergeCell ref="J48:J49"/>
    <mergeCell ref="K48:K49"/>
    <mergeCell ref="J41:J42"/>
    <mergeCell ref="K41:K42"/>
    <mergeCell ref="G46:G47"/>
    <mergeCell ref="H46:I46"/>
    <mergeCell ref="J46:K46"/>
    <mergeCell ref="H48:H49"/>
    <mergeCell ref="I48:I49"/>
    <mergeCell ref="A25:A26"/>
    <mergeCell ref="D25:E25"/>
    <mergeCell ref="G25:G26"/>
    <mergeCell ref="H25:I25"/>
    <mergeCell ref="J25:K25"/>
    <mergeCell ref="M25:M26"/>
    <mergeCell ref="N25:O25"/>
    <mergeCell ref="B25:C25"/>
    <mergeCell ref="D27:D28"/>
    <mergeCell ref="E27:E28"/>
    <mergeCell ref="H27:H28"/>
    <mergeCell ref="I27:I28"/>
    <mergeCell ref="J27:J28"/>
    <mergeCell ref="O27:O28"/>
    <mergeCell ref="M32:M33"/>
    <mergeCell ref="N32:O32"/>
    <mergeCell ref="P32:Q32"/>
    <mergeCell ref="C27:C28"/>
    <mergeCell ref="A32:A33"/>
    <mergeCell ref="B32:C32"/>
    <mergeCell ref="D32:E32"/>
    <mergeCell ref="G32:G33"/>
    <mergeCell ref="H32:I32"/>
    <mergeCell ref="J32:K32"/>
    <mergeCell ref="N34:N35"/>
    <mergeCell ref="O34:O35"/>
    <mergeCell ref="P34:P35"/>
    <mergeCell ref="Q34:Q35"/>
    <mergeCell ref="C34:C35"/>
    <mergeCell ref="D34:D35"/>
    <mergeCell ref="E34:E35"/>
    <mergeCell ref="H34:H35"/>
    <mergeCell ref="I34:I35"/>
    <mergeCell ref="J34:J35"/>
    <mergeCell ref="K34:K35"/>
    <mergeCell ref="G39:G40"/>
    <mergeCell ref="H39:I39"/>
    <mergeCell ref="J39:K39"/>
    <mergeCell ref="A40:F40"/>
    <mergeCell ref="A41:F41"/>
    <mergeCell ref="H41:H42"/>
    <mergeCell ref="I41:I4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1" t="s">
        <v>3785</v>
      </c>
      <c r="B1" s="62" t="s">
        <v>3786</v>
      </c>
      <c r="E1" s="62"/>
      <c r="F1" s="62"/>
      <c r="G1" s="62"/>
      <c r="H1" s="62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</row>
    <row r="2" ht="18.75" customHeight="1">
      <c r="A2" s="61" t="s">
        <v>3787</v>
      </c>
      <c r="B2" s="62" t="s">
        <v>3788</v>
      </c>
      <c r="E2" s="62"/>
      <c r="F2" s="62"/>
      <c r="G2" s="62"/>
      <c r="H2" s="62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</row>
    <row r="3" ht="18.75" customHeight="1">
      <c r="A3" s="61" t="s">
        <v>3789</v>
      </c>
      <c r="B3" s="62" t="s">
        <v>3953</v>
      </c>
      <c r="E3" s="62"/>
      <c r="F3" s="62"/>
      <c r="G3" s="62"/>
      <c r="H3" s="62"/>
      <c r="I3" s="63"/>
      <c r="J3" s="63"/>
      <c r="K3" s="63"/>
      <c r="L3" s="63"/>
      <c r="M3" s="63"/>
      <c r="N3" s="63"/>
      <c r="O3" s="63"/>
      <c r="P3" s="63"/>
      <c r="Q3" s="63"/>
      <c r="R3" s="63"/>
      <c r="S3" s="63"/>
      <c r="T3" s="63"/>
      <c r="U3" s="63"/>
      <c r="V3" s="63"/>
      <c r="W3" s="63"/>
      <c r="X3" s="63"/>
      <c r="Y3" s="63"/>
      <c r="Z3" s="63"/>
    </row>
    <row r="4" ht="18.75" customHeight="1">
      <c r="A4" s="63"/>
      <c r="B4" s="63"/>
      <c r="C4" s="63"/>
      <c r="D4" s="63"/>
      <c r="E4" s="63"/>
      <c r="F4" s="63"/>
      <c r="G4" s="63"/>
      <c r="H4" s="63"/>
      <c r="I4" s="63"/>
      <c r="J4" s="63"/>
      <c r="K4" s="63"/>
      <c r="L4" s="63"/>
      <c r="M4" s="63"/>
      <c r="N4" s="63"/>
      <c r="O4" s="63"/>
      <c r="P4" s="63"/>
      <c r="Q4" s="63"/>
      <c r="R4" s="63"/>
      <c r="S4" s="63"/>
      <c r="T4" s="63"/>
      <c r="U4" s="63"/>
      <c r="V4" s="63"/>
      <c r="W4" s="63"/>
      <c r="X4" s="63"/>
      <c r="Y4" s="63"/>
      <c r="Z4" s="63"/>
    </row>
    <row r="5" ht="18.75" customHeight="1">
      <c r="A5" s="61" t="s">
        <v>3954</v>
      </c>
      <c r="J5" s="63"/>
      <c r="K5" s="63"/>
      <c r="L5" s="63"/>
      <c r="M5" s="63"/>
      <c r="N5" s="78"/>
      <c r="O5" s="78"/>
      <c r="P5" s="78"/>
      <c r="Q5" s="78"/>
      <c r="R5" s="63"/>
      <c r="S5" s="63"/>
      <c r="T5" s="63"/>
      <c r="U5" s="63"/>
      <c r="V5" s="63"/>
      <c r="W5" s="63"/>
      <c r="X5" s="63"/>
      <c r="Y5" s="63"/>
      <c r="Z5" s="63"/>
    </row>
    <row r="6" ht="18.75" customHeight="1">
      <c r="A6" s="79"/>
      <c r="B6" s="61" t="s">
        <v>3955</v>
      </c>
      <c r="C6" s="61" t="s">
        <v>3956</v>
      </c>
      <c r="J6" s="63"/>
      <c r="K6" s="63"/>
      <c r="L6" s="63"/>
      <c r="M6" s="63"/>
      <c r="N6" s="78"/>
      <c r="O6" s="63"/>
      <c r="P6" s="63"/>
      <c r="Q6" s="63"/>
      <c r="R6" s="63"/>
      <c r="S6" s="63"/>
      <c r="T6" s="63"/>
      <c r="U6" s="63"/>
      <c r="V6" s="63"/>
      <c r="W6" s="63"/>
      <c r="X6" s="63"/>
      <c r="Y6" s="63"/>
      <c r="Z6" s="63"/>
    </row>
    <row r="7" ht="18.75" customHeight="1">
      <c r="A7" s="61" t="s">
        <v>3957</v>
      </c>
      <c r="B7" s="70" t="s">
        <v>188</v>
      </c>
      <c r="C7" s="62" t="s">
        <v>3958</v>
      </c>
      <c r="J7" s="63"/>
      <c r="K7" s="63"/>
      <c r="L7" s="63"/>
      <c r="M7" s="63"/>
      <c r="N7" s="62"/>
      <c r="O7" s="63"/>
      <c r="P7" s="63"/>
      <c r="Q7" s="63"/>
      <c r="R7" s="63"/>
      <c r="S7" s="63"/>
      <c r="T7" s="63"/>
      <c r="U7" s="63"/>
      <c r="V7" s="63"/>
      <c r="W7" s="63"/>
      <c r="X7" s="63"/>
      <c r="Y7" s="63"/>
      <c r="Z7" s="63"/>
    </row>
    <row r="8" ht="18.75" customHeight="1">
      <c r="A8" s="63"/>
      <c r="B8" s="63"/>
      <c r="C8" s="63"/>
      <c r="D8" s="63"/>
      <c r="E8" s="63"/>
      <c r="F8" s="63"/>
      <c r="G8" s="63"/>
      <c r="H8" s="63"/>
      <c r="I8" s="63"/>
      <c r="J8" s="63"/>
      <c r="K8" s="63"/>
      <c r="L8" s="63"/>
      <c r="M8" s="63"/>
      <c r="N8" s="62"/>
      <c r="O8" s="63"/>
      <c r="P8" s="63"/>
      <c r="Q8" s="63"/>
      <c r="R8" s="63"/>
      <c r="S8" s="63"/>
      <c r="T8" s="63"/>
      <c r="U8" s="63"/>
      <c r="V8" s="63"/>
      <c r="W8" s="63"/>
      <c r="X8" s="63"/>
      <c r="Y8" s="63"/>
      <c r="Z8" s="63"/>
    </row>
    <row r="9" ht="18.75" customHeight="1">
      <c r="A9" s="66" t="s">
        <v>3959</v>
      </c>
      <c r="E9" s="70"/>
      <c r="F9" s="66" t="s">
        <v>3960</v>
      </c>
      <c r="J9" s="63"/>
      <c r="K9" s="63"/>
      <c r="L9" s="63"/>
      <c r="M9" s="62"/>
      <c r="N9" s="62"/>
      <c r="O9" s="63"/>
      <c r="P9" s="63"/>
      <c r="Q9" s="63"/>
      <c r="R9" s="63"/>
      <c r="S9" s="63"/>
      <c r="T9" s="63"/>
      <c r="U9" s="63"/>
      <c r="V9" s="63"/>
      <c r="W9" s="63"/>
      <c r="X9" s="63"/>
      <c r="Y9" s="63"/>
      <c r="Z9" s="63"/>
    </row>
    <row r="10" ht="18.75" customHeight="1">
      <c r="A10" s="66" t="s">
        <v>3961</v>
      </c>
      <c r="B10" s="67" t="s">
        <v>3962</v>
      </c>
      <c r="D10" s="67" t="s">
        <v>3956</v>
      </c>
      <c r="E10" s="70"/>
      <c r="F10" s="66" t="s">
        <v>3963</v>
      </c>
      <c r="G10" s="67" t="s">
        <v>3964</v>
      </c>
      <c r="I10" s="67" t="s">
        <v>3956</v>
      </c>
      <c r="J10" s="63"/>
      <c r="K10" s="78"/>
      <c r="L10" s="78"/>
      <c r="M10" s="63"/>
      <c r="N10" s="63"/>
      <c r="O10" s="63"/>
      <c r="P10" s="63"/>
      <c r="Q10" s="63"/>
      <c r="R10" s="63"/>
      <c r="S10" s="63"/>
      <c r="T10" s="63"/>
      <c r="U10" s="63"/>
      <c r="V10" s="63"/>
      <c r="W10" s="63"/>
      <c r="X10" s="63"/>
      <c r="Y10" s="63"/>
      <c r="Z10" s="63"/>
    </row>
    <row r="11" ht="18.75" customHeight="1">
      <c r="A11" s="67" t="s">
        <v>3965</v>
      </c>
      <c r="B11" s="80" t="s">
        <v>3966</v>
      </c>
      <c r="C11" s="70" t="s">
        <v>3967</v>
      </c>
      <c r="D11" s="70" t="s">
        <v>3968</v>
      </c>
      <c r="E11" s="63"/>
      <c r="F11" s="67" t="s">
        <v>3794</v>
      </c>
      <c r="G11" s="80" t="s">
        <v>3966</v>
      </c>
      <c r="H11" s="70" t="s">
        <v>3969</v>
      </c>
      <c r="I11" s="70" t="s">
        <v>3970</v>
      </c>
      <c r="J11" s="63"/>
      <c r="K11" s="78"/>
      <c r="L11" s="78"/>
      <c r="M11" s="81"/>
      <c r="N11" s="81"/>
      <c r="O11" s="81"/>
      <c r="P11" s="81"/>
      <c r="Q11" s="81"/>
      <c r="R11" s="81"/>
      <c r="S11" s="81"/>
      <c r="T11" s="63"/>
      <c r="U11" s="63"/>
      <c r="V11" s="63"/>
      <c r="W11" s="63"/>
      <c r="X11" s="63"/>
      <c r="Y11" s="63"/>
      <c r="Z11" s="63"/>
    </row>
    <row r="12" ht="18.75" customHeight="1">
      <c r="A12" s="67" t="s">
        <v>3971</v>
      </c>
      <c r="C12" s="70" t="s">
        <v>3972</v>
      </c>
      <c r="D12" s="70" t="s">
        <v>3973</v>
      </c>
      <c r="E12" s="71"/>
      <c r="F12" s="67" t="s">
        <v>3795</v>
      </c>
      <c r="H12" s="70" t="s">
        <v>3974</v>
      </c>
      <c r="I12" s="70" t="s">
        <v>3975</v>
      </c>
      <c r="J12" s="63"/>
      <c r="K12" s="78"/>
      <c r="L12" s="78"/>
      <c r="M12" s="81"/>
      <c r="N12" s="81"/>
      <c r="O12" s="81"/>
      <c r="P12" s="81"/>
      <c r="Q12" s="81"/>
      <c r="R12" s="81"/>
      <c r="S12" s="81"/>
      <c r="T12" s="63"/>
      <c r="U12" s="63"/>
      <c r="V12" s="63"/>
      <c r="W12" s="63"/>
      <c r="X12" s="63"/>
      <c r="Y12" s="63"/>
      <c r="Z12" s="63"/>
    </row>
    <row r="13" ht="18.75" customHeight="1">
      <c r="A13" s="67" t="s">
        <v>3976</v>
      </c>
      <c r="C13" s="70" t="s">
        <v>3977</v>
      </c>
      <c r="D13" s="70" t="s">
        <v>3978</v>
      </c>
      <c r="E13" s="76"/>
      <c r="F13" s="67" t="s">
        <v>3796</v>
      </c>
      <c r="H13" s="70" t="s">
        <v>3979</v>
      </c>
      <c r="I13" s="70" t="s">
        <v>3980</v>
      </c>
      <c r="J13" s="63"/>
      <c r="K13" s="78"/>
      <c r="L13" s="78"/>
      <c r="M13" s="81"/>
      <c r="N13" s="81"/>
      <c r="O13" s="81"/>
      <c r="P13" s="81"/>
      <c r="Q13" s="81"/>
      <c r="R13" s="81"/>
      <c r="S13" s="81"/>
      <c r="T13" s="63"/>
      <c r="U13" s="63"/>
      <c r="V13" s="63"/>
      <c r="W13" s="63"/>
      <c r="X13" s="63"/>
      <c r="Y13" s="63"/>
      <c r="Z13" s="63"/>
    </row>
    <row r="14" ht="18.75" customHeight="1">
      <c r="A14" s="61" t="s">
        <v>3981</v>
      </c>
      <c r="C14" s="62" t="s">
        <v>3967</v>
      </c>
      <c r="D14" s="70" t="s">
        <v>3982</v>
      </c>
      <c r="E14" s="76"/>
      <c r="F14" s="78"/>
      <c r="G14" s="78"/>
      <c r="H14" s="62"/>
      <c r="I14" s="70"/>
      <c r="J14" s="63"/>
      <c r="K14" s="78"/>
      <c r="L14" s="78"/>
      <c r="M14" s="81"/>
      <c r="N14" s="81"/>
      <c r="O14" s="81"/>
      <c r="P14" s="81"/>
      <c r="Q14" s="81"/>
      <c r="R14" s="81"/>
      <c r="S14" s="81"/>
      <c r="T14" s="63"/>
      <c r="U14" s="63"/>
      <c r="V14" s="63"/>
      <c r="W14" s="63"/>
      <c r="X14" s="63"/>
      <c r="Y14" s="63"/>
      <c r="Z14" s="63"/>
    </row>
    <row r="15" ht="18.75" customHeight="1">
      <c r="A15" s="76"/>
      <c r="B15" s="76"/>
      <c r="C15" s="76"/>
      <c r="D15" s="76"/>
      <c r="E15" s="76"/>
      <c r="F15" s="63"/>
      <c r="G15" s="63"/>
      <c r="H15" s="63"/>
      <c r="I15" s="63"/>
      <c r="J15" s="63"/>
      <c r="K15" s="78"/>
      <c r="L15" s="78"/>
      <c r="M15" s="81"/>
      <c r="N15" s="81"/>
      <c r="O15" s="81"/>
      <c r="P15" s="81"/>
      <c r="Q15" s="81"/>
      <c r="R15" s="81"/>
      <c r="S15" s="81"/>
      <c r="T15" s="63"/>
      <c r="U15" s="63"/>
      <c r="V15" s="63"/>
      <c r="W15" s="63"/>
      <c r="X15" s="63"/>
      <c r="Y15" s="63"/>
      <c r="Z15" s="63"/>
    </row>
    <row r="16" ht="18.75" customHeight="1">
      <c r="A16" s="66" t="s">
        <v>3983</v>
      </c>
      <c r="E16" s="76"/>
      <c r="F16" s="66" t="s">
        <v>3984</v>
      </c>
      <c r="J16" s="63"/>
      <c r="K16" s="81"/>
      <c r="L16" s="81"/>
      <c r="M16" s="81"/>
      <c r="N16" s="81"/>
      <c r="O16" s="81"/>
      <c r="P16" s="81"/>
      <c r="Q16" s="81"/>
      <c r="R16" s="81"/>
      <c r="S16" s="81"/>
      <c r="T16" s="63"/>
      <c r="U16" s="63"/>
      <c r="V16" s="63"/>
      <c r="W16" s="63"/>
      <c r="X16" s="63"/>
      <c r="Y16" s="63"/>
      <c r="Z16" s="63"/>
    </row>
    <row r="17" ht="18.75" customHeight="1">
      <c r="A17" s="66" t="s">
        <v>3985</v>
      </c>
      <c r="B17" s="67" t="s">
        <v>3962</v>
      </c>
      <c r="D17" s="67" t="s">
        <v>3956</v>
      </c>
      <c r="E17" s="76"/>
      <c r="F17" s="66" t="s">
        <v>3986</v>
      </c>
      <c r="G17" s="67" t="s">
        <v>3964</v>
      </c>
      <c r="I17" s="67" t="s">
        <v>3956</v>
      </c>
      <c r="J17" s="63"/>
      <c r="K17" s="81"/>
      <c r="L17" s="81"/>
      <c r="M17" s="81"/>
      <c r="N17" s="81"/>
      <c r="O17" s="81"/>
      <c r="P17" s="81"/>
      <c r="Q17" s="81"/>
      <c r="R17" s="81"/>
      <c r="S17" s="81"/>
      <c r="T17" s="63"/>
      <c r="U17" s="63"/>
      <c r="V17" s="63"/>
      <c r="W17" s="63"/>
      <c r="X17" s="63"/>
      <c r="Y17" s="63"/>
      <c r="Z17" s="63"/>
    </row>
    <row r="18" ht="18.75" customHeight="1">
      <c r="A18" s="67" t="s">
        <v>3785</v>
      </c>
      <c r="B18" s="80" t="s">
        <v>3966</v>
      </c>
      <c r="C18" s="70" t="s">
        <v>3987</v>
      </c>
      <c r="D18" s="70" t="s">
        <v>3988</v>
      </c>
      <c r="E18" s="76"/>
      <c r="F18" s="67" t="s">
        <v>3989</v>
      </c>
      <c r="G18" s="80" t="s">
        <v>3966</v>
      </c>
      <c r="H18" s="70" t="s">
        <v>3990</v>
      </c>
      <c r="I18" s="70" t="s">
        <v>3991</v>
      </c>
      <c r="J18" s="63"/>
      <c r="K18" s="81"/>
      <c r="L18" s="81"/>
      <c r="M18" s="81"/>
      <c r="N18" s="81"/>
      <c r="O18" s="81"/>
      <c r="P18" s="81"/>
      <c r="Q18" s="81"/>
      <c r="R18" s="81"/>
      <c r="S18" s="81"/>
      <c r="T18" s="63"/>
      <c r="U18" s="63"/>
      <c r="V18" s="63"/>
      <c r="W18" s="63"/>
      <c r="X18" s="63"/>
      <c r="Y18" s="63"/>
      <c r="Z18" s="63"/>
    </row>
    <row r="19" ht="18.75" customHeight="1">
      <c r="A19" s="67" t="s">
        <v>3789</v>
      </c>
      <c r="D19" s="70" t="s">
        <v>2212</v>
      </c>
      <c r="E19" s="76"/>
      <c r="F19" s="67" t="s">
        <v>3992</v>
      </c>
      <c r="H19" s="70" t="s">
        <v>3993</v>
      </c>
      <c r="I19" s="70" t="s">
        <v>3994</v>
      </c>
      <c r="J19" s="63"/>
      <c r="K19" s="81"/>
      <c r="L19" s="81"/>
      <c r="M19" s="81"/>
      <c r="N19" s="81"/>
      <c r="O19" s="81"/>
      <c r="P19" s="81"/>
      <c r="Q19" s="81"/>
      <c r="R19" s="81"/>
      <c r="S19" s="81"/>
      <c r="T19" s="63"/>
      <c r="U19" s="63"/>
      <c r="V19" s="63"/>
      <c r="W19" s="63"/>
      <c r="X19" s="63"/>
      <c r="Y19" s="63"/>
      <c r="Z19" s="63"/>
    </row>
    <row r="20" ht="18.75" customHeight="1">
      <c r="A20" s="67" t="s">
        <v>3787</v>
      </c>
      <c r="C20" s="70" t="s">
        <v>1482</v>
      </c>
      <c r="D20" s="70" t="s">
        <v>3995</v>
      </c>
      <c r="E20" s="76"/>
      <c r="F20" s="76"/>
      <c r="G20" s="78"/>
      <c r="H20" s="70"/>
      <c r="I20" s="70"/>
      <c r="J20" s="63"/>
      <c r="K20" s="81"/>
      <c r="L20" s="81"/>
      <c r="M20" s="81"/>
      <c r="N20" s="81"/>
      <c r="O20" s="81"/>
      <c r="P20" s="81"/>
      <c r="Q20" s="81"/>
      <c r="R20" s="81"/>
      <c r="S20" s="81"/>
      <c r="T20" s="63"/>
      <c r="U20" s="63"/>
      <c r="V20" s="63"/>
      <c r="W20" s="63"/>
      <c r="X20" s="63"/>
      <c r="Y20" s="63"/>
      <c r="Z20" s="63"/>
    </row>
    <row r="21" ht="18.75" customHeight="1">
      <c r="A21" s="66" t="s">
        <v>3961</v>
      </c>
      <c r="B21" s="67" t="s">
        <v>3962</v>
      </c>
      <c r="D21" s="67" t="s">
        <v>3956</v>
      </c>
      <c r="E21" s="76"/>
      <c r="F21" s="63"/>
      <c r="G21" s="63"/>
      <c r="H21" s="63"/>
      <c r="I21" s="63"/>
      <c r="J21" s="63"/>
      <c r="K21" s="81"/>
      <c r="L21" s="81"/>
      <c r="M21" s="81"/>
      <c r="N21" s="81"/>
      <c r="O21" s="81"/>
      <c r="P21" s="81"/>
      <c r="Q21" s="81"/>
      <c r="R21" s="81"/>
      <c r="S21" s="81"/>
      <c r="T21" s="63"/>
      <c r="U21" s="63"/>
      <c r="V21" s="63"/>
      <c r="W21" s="63"/>
      <c r="X21" s="63"/>
      <c r="Y21" s="63"/>
      <c r="Z21" s="63"/>
    </row>
    <row r="22" ht="18.75" customHeight="1">
      <c r="A22" s="67" t="s">
        <v>3996</v>
      </c>
      <c r="B22" s="82" t="s">
        <v>3966</v>
      </c>
      <c r="C22" s="70" t="s">
        <v>3977</v>
      </c>
      <c r="D22" s="70" t="s">
        <v>3997</v>
      </c>
      <c r="J22" s="63"/>
      <c r="K22" s="81"/>
      <c r="L22" s="81"/>
      <c r="M22" s="81"/>
      <c r="N22" s="81"/>
      <c r="O22" s="81"/>
      <c r="P22" s="81"/>
      <c r="Q22" s="81"/>
      <c r="R22" s="81"/>
      <c r="S22" s="81"/>
      <c r="T22" s="63"/>
      <c r="U22" s="63"/>
      <c r="V22" s="63"/>
      <c r="W22" s="63"/>
      <c r="X22" s="63"/>
      <c r="Y22" s="63"/>
      <c r="Z22" s="63"/>
    </row>
    <row r="23" ht="18.75" customHeight="1">
      <c r="J23" s="63"/>
      <c r="K23" s="81"/>
      <c r="L23" s="81"/>
      <c r="M23" s="81"/>
      <c r="N23" s="81"/>
      <c r="O23" s="81"/>
      <c r="P23" s="81"/>
      <c r="Q23" s="81"/>
      <c r="R23" s="81"/>
      <c r="S23" s="81"/>
      <c r="T23" s="63"/>
      <c r="U23" s="63"/>
      <c r="V23" s="63"/>
      <c r="W23" s="63"/>
      <c r="X23" s="63"/>
      <c r="Y23" s="63"/>
      <c r="Z23" s="63"/>
    </row>
    <row r="24" ht="18.75" customHeight="1">
      <c r="A24" s="66" t="s">
        <v>3998</v>
      </c>
      <c r="E24" s="76"/>
      <c r="F24" s="61" t="s">
        <v>3999</v>
      </c>
      <c r="J24" s="63"/>
      <c r="K24" s="81"/>
      <c r="L24" s="81"/>
      <c r="M24" s="81"/>
      <c r="N24" s="81"/>
      <c r="O24" s="81"/>
      <c r="P24" s="81"/>
      <c r="Q24" s="81"/>
      <c r="R24" s="81"/>
      <c r="S24" s="81"/>
      <c r="T24" s="63"/>
      <c r="U24" s="63"/>
      <c r="V24" s="63"/>
      <c r="W24" s="63"/>
      <c r="X24" s="63"/>
      <c r="Y24" s="63"/>
      <c r="Z24" s="63"/>
    </row>
    <row r="25" ht="18.75" customHeight="1">
      <c r="A25" s="66" t="s">
        <v>3986</v>
      </c>
      <c r="B25" s="67" t="s">
        <v>3964</v>
      </c>
      <c r="D25" s="67" t="s">
        <v>3956</v>
      </c>
      <c r="E25" s="76"/>
      <c r="F25" s="61" t="s">
        <v>4000</v>
      </c>
      <c r="G25" s="67" t="s">
        <v>3964</v>
      </c>
      <c r="H25" s="61" t="s">
        <v>3956</v>
      </c>
      <c r="J25" s="63"/>
      <c r="K25" s="81"/>
      <c r="L25" s="81"/>
      <c r="M25" s="81"/>
      <c r="N25" s="81"/>
      <c r="O25" s="81"/>
      <c r="P25" s="81"/>
      <c r="Q25" s="81"/>
      <c r="R25" s="81"/>
      <c r="S25" s="81"/>
      <c r="T25" s="63"/>
      <c r="U25" s="63"/>
      <c r="V25" s="63"/>
      <c r="W25" s="63"/>
      <c r="X25" s="63"/>
      <c r="Y25" s="63"/>
      <c r="Z25" s="63"/>
    </row>
    <row r="26" ht="18.75" customHeight="1">
      <c r="A26" s="67" t="s">
        <v>4001</v>
      </c>
      <c r="B26" s="80" t="s">
        <v>3966</v>
      </c>
      <c r="C26" s="70" t="s">
        <v>4002</v>
      </c>
      <c r="D26" s="70" t="s">
        <v>4003</v>
      </c>
      <c r="E26" s="76"/>
      <c r="F26" s="61" t="s">
        <v>3957</v>
      </c>
      <c r="G26" s="70" t="s">
        <v>4004</v>
      </c>
      <c r="H26" s="62" t="s">
        <v>4005</v>
      </c>
      <c r="J26" s="63"/>
      <c r="K26" s="63"/>
      <c r="L26" s="63"/>
      <c r="M26" s="63"/>
      <c r="N26" s="63"/>
      <c r="O26" s="63"/>
      <c r="P26" s="63"/>
      <c r="Q26" s="63"/>
      <c r="R26" s="63"/>
      <c r="S26" s="63"/>
      <c r="T26" s="63"/>
      <c r="U26" s="63"/>
      <c r="V26" s="63"/>
      <c r="W26" s="63"/>
      <c r="X26" s="63"/>
      <c r="Y26" s="63"/>
      <c r="Z26" s="63"/>
    </row>
    <row r="27" ht="18.75" customHeight="1">
      <c r="A27" s="67" t="s">
        <v>12</v>
      </c>
      <c r="C27" s="70" t="s">
        <v>4006</v>
      </c>
      <c r="D27" s="70" t="s">
        <v>4007</v>
      </c>
      <c r="E27" s="76"/>
      <c r="F27" s="61" t="s">
        <v>3960</v>
      </c>
      <c r="G27" s="70" t="s">
        <v>4008</v>
      </c>
      <c r="H27" s="62" t="s">
        <v>4009</v>
      </c>
      <c r="J27" s="63"/>
      <c r="K27" s="63"/>
      <c r="L27" s="63"/>
      <c r="M27" s="63"/>
      <c r="N27" s="63"/>
      <c r="O27" s="63"/>
      <c r="P27" s="63"/>
      <c r="Q27" s="63"/>
      <c r="R27" s="63"/>
      <c r="S27" s="63"/>
      <c r="T27" s="63"/>
      <c r="U27" s="63"/>
      <c r="V27" s="63"/>
      <c r="W27" s="63"/>
      <c r="X27" s="63"/>
      <c r="Y27" s="63"/>
      <c r="Z27" s="63"/>
    </row>
    <row r="28" ht="18.75" customHeight="1">
      <c r="A28" s="67" t="s">
        <v>3992</v>
      </c>
      <c r="C28" s="70" t="s">
        <v>4010</v>
      </c>
      <c r="D28" s="70" t="s">
        <v>3994</v>
      </c>
      <c r="E28" s="63"/>
      <c r="F28" s="61" t="s">
        <v>3959</v>
      </c>
      <c r="G28" s="70" t="s">
        <v>4011</v>
      </c>
      <c r="H28" s="62" t="s">
        <v>4012</v>
      </c>
      <c r="J28" s="63"/>
      <c r="K28" s="63"/>
      <c r="L28" s="63"/>
      <c r="M28" s="63"/>
      <c r="N28" s="63"/>
      <c r="O28" s="63"/>
      <c r="P28" s="63"/>
      <c r="Q28" s="63"/>
      <c r="R28" s="63"/>
      <c r="S28" s="63"/>
      <c r="T28" s="63"/>
      <c r="U28" s="63"/>
      <c r="V28" s="63"/>
      <c r="W28" s="63"/>
      <c r="X28" s="63"/>
      <c r="Y28" s="63"/>
      <c r="Z28" s="63"/>
    </row>
    <row r="29" ht="18.75" customHeight="1">
      <c r="A29" s="63"/>
      <c r="B29" s="63"/>
      <c r="C29" s="63"/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63"/>
      <c r="O29" s="63"/>
      <c r="P29" s="63"/>
      <c r="Q29" s="63"/>
      <c r="R29" s="63"/>
      <c r="S29" s="63"/>
      <c r="T29" s="63"/>
      <c r="U29" s="63"/>
      <c r="V29" s="63"/>
      <c r="W29" s="63"/>
      <c r="X29" s="63"/>
      <c r="Y29" s="63"/>
      <c r="Z29" s="63"/>
    </row>
    <row r="30" ht="18.75" customHeight="1">
      <c r="A30" s="63"/>
      <c r="B30" s="63"/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63"/>
      <c r="N30" s="63"/>
      <c r="O30" s="63"/>
      <c r="P30" s="63"/>
      <c r="Q30" s="63"/>
      <c r="R30" s="63"/>
      <c r="S30" s="63"/>
      <c r="T30" s="63"/>
      <c r="U30" s="63"/>
      <c r="V30" s="63"/>
      <c r="W30" s="63"/>
      <c r="X30" s="63"/>
      <c r="Y30" s="63"/>
      <c r="Z30" s="63"/>
    </row>
    <row r="31" ht="18.75" customHeight="1">
      <c r="A31" s="63"/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63"/>
      <c r="Z31" s="63"/>
    </row>
    <row r="32" ht="18.75" customHeight="1">
      <c r="A32" s="63"/>
      <c r="B32" s="63"/>
      <c r="C32" s="63"/>
      <c r="D32" s="63"/>
      <c r="E32" s="63"/>
      <c r="F32" s="63"/>
      <c r="G32" s="63"/>
      <c r="H32" s="63"/>
      <c r="I32" s="63"/>
      <c r="J32" s="63"/>
      <c r="K32" s="63"/>
      <c r="L32" s="63"/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63"/>
      <c r="Z32" s="63"/>
    </row>
    <row r="33" ht="18.75" customHeight="1">
      <c r="A33" s="63"/>
      <c r="B33" s="63"/>
      <c r="C33" s="63"/>
      <c r="D33" s="63"/>
      <c r="E33" s="63"/>
      <c r="F33" s="63"/>
      <c r="G33" s="63"/>
      <c r="H33" s="63"/>
      <c r="I33" s="63"/>
      <c r="J33" s="63"/>
      <c r="K33" s="63"/>
      <c r="L33" s="63"/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</row>
    <row r="34" ht="18.75" customHeight="1">
      <c r="A34" s="63"/>
      <c r="B34" s="63"/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</row>
    <row r="35" ht="18.75" customHeight="1">
      <c r="A35" s="63"/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</row>
    <row r="36" ht="18.75" customHeight="1">
      <c r="A36" s="63"/>
      <c r="B36" s="63"/>
      <c r="C36" s="63"/>
      <c r="D36" s="63"/>
      <c r="E36" s="63"/>
      <c r="F36" s="63"/>
      <c r="G36" s="63"/>
      <c r="H36" s="63"/>
      <c r="I36" s="63"/>
      <c r="J36" s="63"/>
      <c r="K36" s="63"/>
      <c r="L36" s="63"/>
      <c r="M36" s="63"/>
      <c r="N36" s="63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</row>
    <row r="37" ht="18.75" customHeight="1">
      <c r="A37" s="63"/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</row>
    <row r="38" ht="18.75" customHeight="1">
      <c r="A38" s="63"/>
      <c r="B38" s="63"/>
      <c r="C38" s="63"/>
      <c r="D38" s="63"/>
      <c r="E38" s="63"/>
      <c r="F38" s="63"/>
      <c r="G38" s="63"/>
      <c r="H38" s="63"/>
      <c r="I38" s="63"/>
      <c r="J38" s="63"/>
      <c r="K38" s="63"/>
      <c r="L38" s="63"/>
      <c r="M38" s="63"/>
      <c r="N38" s="63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</row>
    <row r="39" ht="18.75" customHeight="1">
      <c r="A39" s="63"/>
      <c r="B39" s="63"/>
      <c r="C39" s="63"/>
      <c r="D39" s="63"/>
      <c r="E39" s="63"/>
      <c r="F39" s="63"/>
      <c r="G39" s="63"/>
      <c r="H39" s="63"/>
      <c r="I39" s="63"/>
      <c r="J39" s="63"/>
      <c r="K39" s="63"/>
      <c r="L39" s="63"/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63"/>
      <c r="Z39" s="63"/>
    </row>
    <row r="40" ht="18.75" customHeight="1">
      <c r="A40" s="63"/>
      <c r="B40" s="63"/>
      <c r="C40" s="63"/>
      <c r="D40" s="63"/>
      <c r="E40" s="63"/>
      <c r="F40" s="63"/>
      <c r="G40" s="63"/>
      <c r="H40" s="63"/>
      <c r="I40" s="63"/>
      <c r="J40" s="63"/>
      <c r="K40" s="63"/>
      <c r="L40" s="63"/>
      <c r="M40" s="63"/>
      <c r="N40" s="63"/>
      <c r="O40" s="63"/>
      <c r="P40" s="63"/>
      <c r="Q40" s="63"/>
      <c r="R40" s="63"/>
      <c r="S40" s="63"/>
      <c r="T40" s="63"/>
      <c r="U40" s="63"/>
      <c r="V40" s="63"/>
      <c r="W40" s="63"/>
      <c r="X40" s="63"/>
      <c r="Y40" s="63"/>
      <c r="Z40" s="63"/>
    </row>
    <row r="41" ht="18.75" customHeight="1">
      <c r="A41" s="63"/>
      <c r="B41" s="63"/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63"/>
      <c r="Z41" s="63"/>
    </row>
    <row r="42" ht="18.75" customHeight="1">
      <c r="A42" s="63"/>
      <c r="B42" s="63"/>
      <c r="C42" s="63"/>
      <c r="D42" s="63"/>
      <c r="E42" s="63"/>
      <c r="F42" s="63"/>
      <c r="G42" s="63"/>
      <c r="H42" s="63"/>
      <c r="I42" s="63"/>
      <c r="J42" s="63"/>
      <c r="K42" s="63"/>
      <c r="L42" s="63"/>
      <c r="M42" s="63"/>
      <c r="N42" s="63"/>
      <c r="O42" s="63"/>
      <c r="P42" s="63"/>
      <c r="Q42" s="63"/>
      <c r="R42" s="63"/>
      <c r="S42" s="63"/>
      <c r="T42" s="63"/>
      <c r="U42" s="63"/>
      <c r="V42" s="63"/>
      <c r="W42" s="63"/>
      <c r="X42" s="63"/>
      <c r="Y42" s="63"/>
      <c r="Z42" s="63"/>
    </row>
    <row r="43" ht="18.75" customHeight="1">
      <c r="A43" s="63"/>
      <c r="B43" s="63"/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63"/>
      <c r="Z43" s="63"/>
    </row>
    <row r="44" ht="18.75" customHeight="1">
      <c r="A44" s="63"/>
      <c r="B44" s="63"/>
      <c r="C44" s="63"/>
      <c r="D44" s="63"/>
      <c r="E44" s="63"/>
      <c r="F44" s="63"/>
      <c r="G44" s="63"/>
      <c r="H44" s="63"/>
      <c r="I44" s="63"/>
      <c r="J44" s="63"/>
      <c r="K44" s="63"/>
      <c r="L44" s="63"/>
      <c r="M44" s="63"/>
      <c r="N44" s="63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63"/>
      <c r="Z44" s="63"/>
    </row>
    <row r="45" ht="18.75" customHeight="1">
      <c r="A45" s="63"/>
      <c r="B45" s="63"/>
      <c r="C45" s="63"/>
      <c r="D45" s="63"/>
      <c r="E45" s="63"/>
      <c r="F45" s="63"/>
      <c r="G45" s="63"/>
      <c r="H45" s="63"/>
      <c r="I45" s="63"/>
      <c r="J45" s="63"/>
      <c r="K45" s="63"/>
      <c r="L45" s="63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63"/>
      <c r="Z45" s="63"/>
    </row>
    <row r="46" ht="18.75" customHeight="1">
      <c r="A46" s="63"/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63"/>
      <c r="Z46" s="63"/>
    </row>
    <row r="47" ht="18.75" customHeight="1">
      <c r="A47" s="63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63"/>
      <c r="Z47" s="63"/>
    </row>
    <row r="48" ht="18.75" customHeight="1">
      <c r="A48" s="63"/>
      <c r="B48" s="63"/>
      <c r="C48" s="63"/>
      <c r="D48" s="63"/>
      <c r="E48" s="63"/>
      <c r="F48" s="63"/>
      <c r="G48" s="63"/>
      <c r="H48" s="63"/>
      <c r="I48" s="63"/>
      <c r="J48" s="63"/>
      <c r="K48" s="63"/>
      <c r="L48" s="63"/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</row>
    <row r="49" ht="18.75" customHeight="1">
      <c r="A49" s="63"/>
      <c r="B49" s="63"/>
      <c r="C49" s="63"/>
      <c r="D49" s="63"/>
      <c r="E49" s="63"/>
      <c r="F49" s="63"/>
      <c r="G49" s="63"/>
      <c r="H49" s="63"/>
      <c r="I49" s="63"/>
      <c r="J49" s="63"/>
      <c r="K49" s="63"/>
      <c r="L49" s="63"/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</row>
    <row r="50" ht="18.75" customHeight="1">
      <c r="A50" s="63"/>
      <c r="B50" s="63"/>
      <c r="C50" s="63"/>
      <c r="D50" s="63"/>
      <c r="E50" s="63"/>
      <c r="F50" s="63"/>
      <c r="G50" s="63"/>
      <c r="H50" s="63"/>
      <c r="I50" s="63"/>
      <c r="J50" s="63"/>
      <c r="K50" s="63"/>
      <c r="L50" s="63"/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</row>
    <row r="51" ht="18.75" customHeight="1">
      <c r="A51" s="63"/>
      <c r="B51" s="63"/>
      <c r="C51" s="63"/>
      <c r="D51" s="63"/>
      <c r="E51" s="63"/>
      <c r="F51" s="63"/>
      <c r="G51" s="63"/>
      <c r="H51" s="63"/>
      <c r="I51" s="63"/>
      <c r="J51" s="63"/>
      <c r="K51" s="63"/>
      <c r="L51" s="63"/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</row>
    <row r="52" ht="18.75" customHeight="1">
      <c r="A52" s="63"/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63"/>
      <c r="Z52" s="63"/>
    </row>
    <row r="53" ht="18.75" customHeight="1">
      <c r="A53" s="63"/>
      <c r="B53" s="63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</row>
    <row r="54" ht="18.75" customHeight="1">
      <c r="A54" s="63"/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</row>
    <row r="55" ht="18.75" customHeight="1">
      <c r="A55" s="63"/>
      <c r="B55" s="63"/>
      <c r="C55" s="63"/>
      <c r="D55" s="63"/>
      <c r="E55" s="63"/>
      <c r="F55" s="63"/>
      <c r="G55" s="63"/>
      <c r="H55" s="63"/>
      <c r="I55" s="63"/>
      <c r="J55" s="63"/>
      <c r="K55" s="63"/>
      <c r="L55" s="63"/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</row>
    <row r="56" ht="18.75" customHeight="1">
      <c r="A56" s="63"/>
      <c r="B56" s="63"/>
      <c r="C56" s="63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</row>
    <row r="57" ht="18.75" customHeight="1">
      <c r="A57" s="63"/>
      <c r="B57" s="63"/>
      <c r="C57" s="63"/>
      <c r="D57" s="63"/>
      <c r="E57" s="63"/>
      <c r="F57" s="63"/>
      <c r="G57" s="63"/>
      <c r="H57" s="63"/>
      <c r="I57" s="63"/>
      <c r="J57" s="63"/>
      <c r="K57" s="63"/>
      <c r="L57" s="63"/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</row>
    <row r="58" ht="18.75" customHeight="1">
      <c r="A58" s="63"/>
      <c r="B58" s="63"/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</row>
    <row r="59" ht="18.75" customHeight="1">
      <c r="A59" s="63"/>
      <c r="B59" s="63"/>
      <c r="C59" s="63"/>
      <c r="D59" s="63"/>
      <c r="E59" s="63"/>
      <c r="F59" s="63"/>
      <c r="G59" s="63"/>
      <c r="H59" s="63"/>
      <c r="I59" s="63"/>
      <c r="J59" s="63"/>
      <c r="K59" s="63"/>
      <c r="L59" s="63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</row>
    <row r="60" ht="18.75" customHeight="1">
      <c r="A60" s="63"/>
      <c r="B60" s="63"/>
      <c r="C60" s="63"/>
      <c r="D60" s="63"/>
      <c r="E60" s="63"/>
      <c r="F60" s="63"/>
      <c r="G60" s="63"/>
      <c r="H60" s="63"/>
      <c r="I60" s="63"/>
      <c r="J60" s="63"/>
      <c r="K60" s="63"/>
      <c r="L60" s="63"/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</row>
    <row r="61" ht="18.75" customHeight="1">
      <c r="A61" s="63"/>
      <c r="B61" s="63"/>
      <c r="C61" s="63"/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</row>
    <row r="62" ht="18.75" customHeight="1">
      <c r="A62" s="63"/>
      <c r="B62" s="63"/>
      <c r="C62" s="63"/>
      <c r="D62" s="63"/>
      <c r="E62" s="63"/>
      <c r="F62" s="63"/>
      <c r="G62" s="63"/>
      <c r="H62" s="63"/>
      <c r="I62" s="63"/>
      <c r="J62" s="63"/>
      <c r="K62" s="63"/>
      <c r="L62" s="63"/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</row>
    <row r="63" ht="18.75" customHeight="1">
      <c r="A63" s="63"/>
      <c r="B63" s="63"/>
      <c r="C63" s="63"/>
      <c r="D63" s="63"/>
      <c r="E63" s="63"/>
      <c r="F63" s="63"/>
      <c r="G63" s="63"/>
      <c r="H63" s="63"/>
      <c r="I63" s="63"/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</row>
    <row r="64" ht="18.75" customHeight="1">
      <c r="A64" s="63"/>
      <c r="B64" s="63"/>
      <c r="C64" s="63"/>
      <c r="D64" s="63"/>
      <c r="E64" s="63"/>
      <c r="F64" s="63"/>
      <c r="G64" s="63"/>
      <c r="H64" s="63"/>
      <c r="I64" s="63"/>
      <c r="J64" s="63"/>
      <c r="K64" s="63"/>
      <c r="L64" s="63"/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</row>
    <row r="65" ht="18.75" customHeight="1">
      <c r="A65" s="63"/>
      <c r="B65" s="63"/>
      <c r="C65" s="63"/>
      <c r="D65" s="63"/>
      <c r="E65" s="63"/>
      <c r="F65" s="63"/>
      <c r="G65" s="63"/>
      <c r="H65" s="63"/>
      <c r="I65" s="63"/>
      <c r="J65" s="63"/>
      <c r="K65" s="63"/>
      <c r="L65" s="63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</row>
    <row r="66" ht="18.75" customHeight="1">
      <c r="A66" s="63"/>
      <c r="B66" s="63"/>
      <c r="C66" s="63"/>
      <c r="D66" s="63"/>
      <c r="E66" s="63"/>
      <c r="F66" s="63"/>
      <c r="G66" s="63"/>
      <c r="H66" s="63"/>
      <c r="I66" s="63"/>
      <c r="J66" s="63"/>
      <c r="K66" s="63"/>
      <c r="L66" s="63"/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</row>
    <row r="67" ht="18.75" customHeight="1">
      <c r="A67" s="63"/>
      <c r="B67" s="63"/>
      <c r="C67" s="63"/>
      <c r="D67" s="63"/>
      <c r="E67" s="63"/>
      <c r="F67" s="63"/>
      <c r="G67" s="63"/>
      <c r="H67" s="63"/>
      <c r="I67" s="63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63"/>
      <c r="Z67" s="63"/>
    </row>
    <row r="68" ht="18.75" customHeight="1">
      <c r="A68" s="63"/>
      <c r="B68" s="63"/>
      <c r="C68" s="63"/>
      <c r="D68" s="63"/>
      <c r="E68" s="63"/>
      <c r="F68" s="63"/>
      <c r="G68" s="63"/>
      <c r="H68" s="63"/>
      <c r="I68" s="63"/>
      <c r="J68" s="63"/>
      <c r="K68" s="63"/>
      <c r="L68" s="63"/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  <c r="X68" s="63"/>
      <c r="Y68" s="63"/>
      <c r="Z68" s="63"/>
    </row>
    <row r="69" ht="18.75" customHeight="1">
      <c r="A69" s="63"/>
      <c r="B69" s="63"/>
      <c r="C69" s="63"/>
      <c r="D69" s="63"/>
      <c r="E69" s="63"/>
      <c r="F69" s="63"/>
      <c r="G69" s="63"/>
      <c r="H69" s="63"/>
      <c r="I69" s="63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</row>
    <row r="70" ht="18.75" customHeight="1">
      <c r="A70" s="63"/>
      <c r="B70" s="63"/>
      <c r="C70" s="63"/>
      <c r="D70" s="63"/>
      <c r="E70" s="63"/>
      <c r="F70" s="63"/>
      <c r="G70" s="63"/>
      <c r="H70" s="63"/>
      <c r="I70" s="63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</row>
    <row r="71" ht="18.75" customHeight="1">
      <c r="A71" s="63"/>
      <c r="B71" s="63"/>
      <c r="C71" s="63"/>
      <c r="D71" s="63"/>
      <c r="E71" s="63"/>
      <c r="F71" s="63"/>
      <c r="G71" s="63"/>
      <c r="H71" s="63"/>
      <c r="I71" s="63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</row>
    <row r="72" ht="18.75" customHeight="1">
      <c r="A72" s="63"/>
      <c r="B72" s="63"/>
      <c r="C72" s="63"/>
      <c r="D72" s="63"/>
      <c r="E72" s="63"/>
      <c r="F72" s="63"/>
      <c r="G72" s="63"/>
      <c r="H72" s="63"/>
      <c r="I72" s="63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63"/>
      <c r="Z72" s="63"/>
    </row>
    <row r="73" ht="18.75" customHeight="1">
      <c r="A73" s="63"/>
      <c r="B73" s="63"/>
      <c r="C73" s="63"/>
      <c r="D73" s="63"/>
      <c r="E73" s="63"/>
      <c r="F73" s="63"/>
      <c r="G73" s="63"/>
      <c r="H73" s="63"/>
      <c r="I73" s="63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63"/>
      <c r="Z73" s="63"/>
    </row>
    <row r="74" ht="18.75" customHeight="1">
      <c r="A74" s="63"/>
      <c r="B74" s="63"/>
      <c r="C74" s="63"/>
      <c r="D74" s="63"/>
      <c r="E74" s="63"/>
      <c r="F74" s="63"/>
      <c r="G74" s="63"/>
      <c r="H74" s="63"/>
      <c r="I74" s="63"/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  <c r="Y74" s="63"/>
      <c r="Z74" s="63"/>
    </row>
    <row r="75" ht="18.75" customHeight="1">
      <c r="A75" s="63"/>
      <c r="B75" s="63"/>
      <c r="C75" s="63"/>
      <c r="D75" s="63"/>
      <c r="E75" s="63"/>
      <c r="F75" s="63"/>
      <c r="G75" s="63"/>
      <c r="H75" s="63"/>
      <c r="I75" s="63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63"/>
      <c r="Z75" s="63"/>
    </row>
    <row r="76" ht="18.75" customHeight="1">
      <c r="A76" s="63"/>
      <c r="B76" s="63"/>
      <c r="C76" s="63"/>
      <c r="D76" s="63"/>
      <c r="E76" s="63"/>
      <c r="F76" s="63"/>
      <c r="G76" s="63"/>
      <c r="H76" s="63"/>
      <c r="I76" s="63"/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63"/>
      <c r="Z76" s="63"/>
    </row>
    <row r="77" ht="18.75" customHeight="1">
      <c r="A77" s="63"/>
      <c r="B77" s="63"/>
      <c r="C77" s="63"/>
      <c r="D77" s="63"/>
      <c r="E77" s="63"/>
      <c r="F77" s="63"/>
      <c r="G77" s="63"/>
      <c r="H77" s="63"/>
      <c r="I77" s="63"/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63"/>
      <c r="Z77" s="63"/>
    </row>
    <row r="78" ht="18.75" customHeight="1">
      <c r="A78" s="63"/>
      <c r="B78" s="63"/>
      <c r="C78" s="63"/>
      <c r="D78" s="63"/>
      <c r="E78" s="63"/>
      <c r="F78" s="63"/>
      <c r="G78" s="63"/>
      <c r="H78" s="63"/>
      <c r="I78" s="63"/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3"/>
      <c r="Y78" s="63"/>
      <c r="Z78" s="63"/>
    </row>
    <row r="79" ht="18.75" customHeight="1">
      <c r="A79" s="63"/>
      <c r="B79" s="63"/>
      <c r="C79" s="63"/>
      <c r="D79" s="63"/>
      <c r="E79" s="63"/>
      <c r="F79" s="63"/>
      <c r="G79" s="63"/>
      <c r="H79" s="63"/>
      <c r="I79" s="63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63"/>
      <c r="Z79" s="63"/>
    </row>
    <row r="80" ht="18.75" customHeight="1">
      <c r="A80" s="63"/>
      <c r="B80" s="63"/>
      <c r="C80" s="63"/>
      <c r="D80" s="63"/>
      <c r="E80" s="63"/>
      <c r="F80" s="63"/>
      <c r="G80" s="63"/>
      <c r="H80" s="63"/>
      <c r="I80" s="63"/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3"/>
      <c r="Y80" s="63"/>
      <c r="Z80" s="63"/>
    </row>
    <row r="81" ht="18.75" customHeight="1">
      <c r="A81" s="63"/>
      <c r="B81" s="63"/>
      <c r="C81" s="63"/>
      <c r="D81" s="63"/>
      <c r="E81" s="63"/>
      <c r="F81" s="63"/>
      <c r="G81" s="63"/>
      <c r="H81" s="63"/>
      <c r="I81" s="63"/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63"/>
      <c r="Z81" s="63"/>
    </row>
    <row r="82" ht="18.75" customHeight="1">
      <c r="A82" s="63"/>
      <c r="B82" s="63"/>
      <c r="C82" s="63"/>
      <c r="D82" s="63"/>
      <c r="E82" s="63"/>
      <c r="F82" s="63"/>
      <c r="G82" s="63"/>
      <c r="H82" s="63"/>
      <c r="I82" s="63"/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Y82" s="63"/>
      <c r="Z82" s="63"/>
    </row>
    <row r="83" ht="18.75" customHeight="1">
      <c r="A83" s="63"/>
      <c r="B83" s="63"/>
      <c r="C83" s="63"/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63"/>
      <c r="Z83" s="63"/>
    </row>
    <row r="84" ht="18.75" customHeight="1">
      <c r="A84" s="63"/>
      <c r="B84" s="63"/>
      <c r="C84" s="63"/>
      <c r="D84" s="63"/>
      <c r="E84" s="63"/>
      <c r="F84" s="63"/>
      <c r="G84" s="63"/>
      <c r="H84" s="63"/>
      <c r="I84" s="63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</row>
    <row r="85" ht="18.75" customHeight="1">
      <c r="A85" s="63"/>
      <c r="B85" s="63"/>
      <c r="C85" s="63"/>
      <c r="D85" s="63"/>
      <c r="E85" s="63"/>
      <c r="F85" s="63"/>
      <c r="G85" s="63"/>
      <c r="H85" s="63"/>
      <c r="I85" s="63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</row>
    <row r="86" ht="18.75" customHeight="1">
      <c r="A86" s="63"/>
      <c r="B86" s="63"/>
      <c r="C86" s="63"/>
      <c r="D86" s="63"/>
      <c r="E86" s="63"/>
      <c r="F86" s="63"/>
      <c r="G86" s="63"/>
      <c r="H86" s="63"/>
      <c r="I86" s="63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63"/>
      <c r="Z86" s="63"/>
    </row>
    <row r="87" ht="18.75" customHeight="1">
      <c r="A87" s="63"/>
      <c r="B87" s="63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63"/>
      <c r="Z87" s="63"/>
    </row>
    <row r="88" ht="18.75" customHeight="1">
      <c r="A88" s="63"/>
      <c r="B88" s="63"/>
      <c r="C88" s="63"/>
      <c r="D88" s="63"/>
      <c r="E88" s="63"/>
      <c r="F88" s="63"/>
      <c r="G88" s="63"/>
      <c r="H88" s="63"/>
      <c r="I88" s="63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63"/>
      <c r="Z88" s="63"/>
    </row>
    <row r="89" ht="18.75" customHeight="1">
      <c r="A89" s="63"/>
      <c r="B89" s="63"/>
      <c r="C89" s="63"/>
      <c r="D89" s="63"/>
      <c r="E89" s="63"/>
      <c r="F89" s="63"/>
      <c r="G89" s="63"/>
      <c r="H89" s="63"/>
      <c r="I89" s="63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63"/>
      <c r="Z89" s="63"/>
    </row>
    <row r="90" ht="18.75" customHeight="1">
      <c r="A90" s="63"/>
      <c r="B90" s="63"/>
      <c r="C90" s="63"/>
      <c r="D90" s="63"/>
      <c r="E90" s="63"/>
      <c r="F90" s="63"/>
      <c r="G90" s="63"/>
      <c r="H90" s="63"/>
      <c r="I90" s="63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  <c r="V90" s="63"/>
      <c r="W90" s="63"/>
      <c r="X90" s="63"/>
      <c r="Y90" s="63"/>
      <c r="Z90" s="63"/>
    </row>
    <row r="91" ht="18.75" customHeight="1">
      <c r="A91" s="63"/>
      <c r="B91" s="63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63"/>
      <c r="Z91" s="63"/>
    </row>
    <row r="92" ht="18.75" customHeight="1">
      <c r="A92" s="63"/>
      <c r="B92" s="63"/>
      <c r="C92" s="63"/>
      <c r="D92" s="63"/>
      <c r="E92" s="63"/>
      <c r="F92" s="63"/>
      <c r="G92" s="63"/>
      <c r="H92" s="63"/>
      <c r="I92" s="63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63"/>
      <c r="X92" s="63"/>
      <c r="Y92" s="63"/>
      <c r="Z92" s="63"/>
    </row>
    <row r="93" ht="18.75" customHeight="1">
      <c r="A93" s="63"/>
      <c r="B93" s="63"/>
      <c r="C93" s="63"/>
      <c r="D93" s="63"/>
      <c r="E93" s="63"/>
      <c r="F93" s="63"/>
      <c r="G93" s="63"/>
      <c r="H93" s="63"/>
      <c r="I93" s="63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63"/>
      <c r="Z93" s="63"/>
    </row>
    <row r="94" ht="18.75" customHeight="1">
      <c r="A94" s="63"/>
      <c r="B94" s="63"/>
      <c r="C94" s="63"/>
      <c r="D94" s="63"/>
      <c r="E94" s="63"/>
      <c r="F94" s="63"/>
      <c r="G94" s="63"/>
      <c r="H94" s="63"/>
      <c r="I94" s="63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  <c r="V94" s="63"/>
      <c r="W94" s="63"/>
      <c r="X94" s="63"/>
      <c r="Y94" s="63"/>
      <c r="Z94" s="63"/>
    </row>
    <row r="95" ht="18.75" customHeight="1">
      <c r="A95" s="63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63"/>
      <c r="Z95" s="63"/>
    </row>
    <row r="96" ht="18.75" customHeight="1">
      <c r="A96" s="63"/>
      <c r="B96" s="63"/>
      <c r="C96" s="63"/>
      <c r="D96" s="63"/>
      <c r="E96" s="63"/>
      <c r="F96" s="63"/>
      <c r="G96" s="63"/>
      <c r="H96" s="63"/>
      <c r="I96" s="63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  <c r="X96" s="63"/>
      <c r="Y96" s="63"/>
      <c r="Z96" s="63"/>
    </row>
    <row r="97" ht="18.75" customHeight="1">
      <c r="A97" s="63"/>
      <c r="B97" s="63"/>
      <c r="C97" s="63"/>
      <c r="D97" s="63"/>
      <c r="E97" s="63"/>
      <c r="F97" s="63"/>
      <c r="G97" s="63"/>
      <c r="H97" s="63"/>
      <c r="I97" s="63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63"/>
      <c r="Z97" s="63"/>
    </row>
    <row r="98" ht="18.75" customHeight="1">
      <c r="A98" s="63"/>
      <c r="B98" s="63"/>
      <c r="C98" s="63"/>
      <c r="D98" s="63"/>
      <c r="E98" s="63"/>
      <c r="F98" s="63"/>
      <c r="G98" s="63"/>
      <c r="H98" s="63"/>
      <c r="I98" s="63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63"/>
      <c r="X98" s="63"/>
      <c r="Y98" s="63"/>
      <c r="Z98" s="63"/>
    </row>
    <row r="99" ht="18.75" customHeight="1">
      <c r="A99" s="63"/>
      <c r="B99" s="63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63"/>
      <c r="Z99" s="63"/>
    </row>
    <row r="100" ht="18.75" customHeight="1">
      <c r="A100" s="63"/>
      <c r="B100" s="63"/>
      <c r="C100" s="63"/>
      <c r="D100" s="63"/>
      <c r="E100" s="63"/>
      <c r="F100" s="63"/>
      <c r="G100" s="63"/>
      <c r="H100" s="63"/>
      <c r="I100" s="63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63"/>
      <c r="Z100" s="63"/>
    </row>
  </sheetData>
  <mergeCells count="28">
    <mergeCell ref="B1:D1"/>
    <mergeCell ref="B2:D2"/>
    <mergeCell ref="B3:D3"/>
    <mergeCell ref="A5:I5"/>
    <mergeCell ref="C6:I6"/>
    <mergeCell ref="C7:I7"/>
    <mergeCell ref="F9:I9"/>
    <mergeCell ref="F16:I16"/>
    <mergeCell ref="G17:H17"/>
    <mergeCell ref="G18:G19"/>
    <mergeCell ref="F24:I24"/>
    <mergeCell ref="H25:I25"/>
    <mergeCell ref="H26:I26"/>
    <mergeCell ref="H27:I27"/>
    <mergeCell ref="H28:I28"/>
    <mergeCell ref="B18:B20"/>
    <mergeCell ref="C18:C19"/>
    <mergeCell ref="B21:C21"/>
    <mergeCell ref="A24:D24"/>
    <mergeCell ref="B25:C25"/>
    <mergeCell ref="B26:B28"/>
    <mergeCell ref="A9:D9"/>
    <mergeCell ref="B10:C10"/>
    <mergeCell ref="G10:H10"/>
    <mergeCell ref="B11:B14"/>
    <mergeCell ref="G11:G13"/>
    <mergeCell ref="A16:D16"/>
    <mergeCell ref="B17:C1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1" t="s">
        <v>4013</v>
      </c>
      <c r="F1" s="62"/>
      <c r="G1" s="61" t="s">
        <v>4014</v>
      </c>
      <c r="K1" s="78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</row>
    <row r="2" ht="18.75" customHeight="1">
      <c r="A2" s="61" t="s">
        <v>4015</v>
      </c>
      <c r="C2" s="61" t="s">
        <v>3964</v>
      </c>
      <c r="E2" s="61" t="s">
        <v>3956</v>
      </c>
      <c r="F2" s="62"/>
      <c r="G2" s="61" t="s">
        <v>4015</v>
      </c>
      <c r="H2" s="61" t="s">
        <v>3964</v>
      </c>
      <c r="J2" s="61" t="s">
        <v>3956</v>
      </c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</row>
    <row r="3" ht="18.75" customHeight="1">
      <c r="A3" s="61" t="s">
        <v>4016</v>
      </c>
      <c r="C3" s="62" t="s">
        <v>4017</v>
      </c>
      <c r="E3" s="62" t="s">
        <v>2652</v>
      </c>
      <c r="F3" s="62"/>
      <c r="G3" s="61" t="s">
        <v>4016</v>
      </c>
      <c r="H3" s="62" t="s">
        <v>4017</v>
      </c>
      <c r="J3" s="62" t="s">
        <v>4018</v>
      </c>
      <c r="L3" s="62"/>
      <c r="M3" s="62"/>
      <c r="N3" s="62"/>
      <c r="O3" s="62"/>
      <c r="P3" s="62"/>
      <c r="Q3" s="62"/>
      <c r="R3" s="62"/>
      <c r="S3" s="62"/>
      <c r="T3" s="62"/>
      <c r="U3" s="62"/>
      <c r="V3" s="62"/>
      <c r="W3" s="62"/>
      <c r="X3" s="62"/>
      <c r="Y3" s="62"/>
      <c r="Z3" s="62"/>
    </row>
    <row r="4" ht="18.75" customHeight="1">
      <c r="A4" s="61" t="s">
        <v>4019</v>
      </c>
      <c r="B4" s="61" t="s">
        <v>3827</v>
      </c>
      <c r="C4" s="80" t="s">
        <v>3966</v>
      </c>
      <c r="D4" s="62" t="s">
        <v>3969</v>
      </c>
      <c r="E4" s="62" t="s">
        <v>4020</v>
      </c>
      <c r="F4" s="62"/>
      <c r="G4" s="61" t="s">
        <v>4019</v>
      </c>
      <c r="L4" s="62"/>
      <c r="M4" s="62"/>
      <c r="N4" s="62"/>
      <c r="O4" s="62"/>
      <c r="P4" s="62"/>
      <c r="Q4" s="62"/>
      <c r="R4" s="62"/>
      <c r="S4" s="62"/>
      <c r="T4" s="62"/>
      <c r="U4" s="62"/>
      <c r="V4" s="62"/>
      <c r="W4" s="62"/>
      <c r="X4" s="62"/>
      <c r="Y4" s="62"/>
      <c r="Z4" s="62"/>
    </row>
    <row r="5" ht="18.75" customHeight="1">
      <c r="B5" s="61" t="s">
        <v>3828</v>
      </c>
      <c r="D5" s="62" t="s">
        <v>4001</v>
      </c>
      <c r="E5" s="62" t="s">
        <v>4021</v>
      </c>
      <c r="F5" s="62"/>
      <c r="G5" s="61" t="s">
        <v>4022</v>
      </c>
      <c r="H5" s="80" t="s">
        <v>3966</v>
      </c>
      <c r="I5" s="62" t="s">
        <v>4023</v>
      </c>
      <c r="J5" s="62" t="s">
        <v>4024</v>
      </c>
      <c r="L5" s="62"/>
      <c r="M5" s="62"/>
      <c r="N5" s="62"/>
      <c r="O5" s="62"/>
      <c r="P5" s="62"/>
      <c r="Q5" s="62"/>
      <c r="R5" s="62"/>
      <c r="S5" s="62"/>
      <c r="T5" s="62"/>
      <c r="U5" s="62"/>
      <c r="V5" s="62"/>
      <c r="W5" s="62"/>
      <c r="X5" s="62"/>
      <c r="Y5" s="62"/>
      <c r="Z5" s="62"/>
    </row>
    <row r="6" ht="18.75" customHeight="1">
      <c r="A6" s="61" t="s">
        <v>4022</v>
      </c>
      <c r="B6" s="61" t="s">
        <v>3827</v>
      </c>
      <c r="D6" s="62" t="s">
        <v>4023</v>
      </c>
      <c r="E6" s="62" t="s">
        <v>4025</v>
      </c>
      <c r="F6" s="62"/>
      <c r="G6" s="61" t="s">
        <v>4026</v>
      </c>
      <c r="I6" s="62" t="s">
        <v>4027</v>
      </c>
      <c r="J6" s="62" t="s">
        <v>4028</v>
      </c>
      <c r="L6" s="62"/>
      <c r="M6" s="62"/>
      <c r="N6" s="62"/>
      <c r="O6" s="62"/>
      <c r="P6" s="62"/>
      <c r="Q6" s="62"/>
      <c r="R6" s="62"/>
      <c r="S6" s="62"/>
      <c r="T6" s="62"/>
      <c r="U6" s="62"/>
      <c r="V6" s="62"/>
      <c r="W6" s="62"/>
      <c r="X6" s="62"/>
      <c r="Y6" s="62"/>
      <c r="Z6" s="62"/>
    </row>
    <row r="7" ht="18.75" customHeight="1">
      <c r="B7" s="61" t="s">
        <v>3828</v>
      </c>
      <c r="D7" s="62" t="s">
        <v>4029</v>
      </c>
      <c r="E7" s="62" t="s">
        <v>4030</v>
      </c>
      <c r="F7" s="62"/>
      <c r="G7" s="61" t="s">
        <v>4031</v>
      </c>
      <c r="I7" s="62" t="s">
        <v>4001</v>
      </c>
      <c r="J7" s="62" t="s">
        <v>4032</v>
      </c>
      <c r="L7" s="62"/>
      <c r="M7" s="62"/>
      <c r="N7" s="62"/>
      <c r="O7" s="62"/>
      <c r="P7" s="62"/>
      <c r="Q7" s="62"/>
      <c r="R7" s="62"/>
      <c r="S7" s="62"/>
      <c r="T7" s="62"/>
      <c r="U7" s="62"/>
      <c r="V7" s="62"/>
      <c r="W7" s="62"/>
      <c r="X7" s="62"/>
      <c r="Y7" s="62"/>
      <c r="Z7" s="62"/>
    </row>
    <row r="8" ht="18.75" customHeight="1">
      <c r="A8" s="61" t="s">
        <v>4026</v>
      </c>
      <c r="B8" s="61" t="s">
        <v>3827</v>
      </c>
      <c r="D8" s="62" t="s">
        <v>4027</v>
      </c>
      <c r="E8" s="62" t="s">
        <v>4033</v>
      </c>
      <c r="F8" s="62"/>
      <c r="G8" s="62"/>
      <c r="H8" s="62"/>
      <c r="I8" s="62"/>
      <c r="J8" s="62"/>
      <c r="K8" s="62"/>
      <c r="L8" s="62"/>
      <c r="M8" s="62"/>
      <c r="N8" s="62"/>
      <c r="O8" s="62"/>
      <c r="P8" s="62"/>
      <c r="Q8" s="62"/>
      <c r="R8" s="62"/>
      <c r="S8" s="62"/>
      <c r="T8" s="62"/>
      <c r="U8" s="62"/>
      <c r="V8" s="62"/>
      <c r="W8" s="62"/>
      <c r="X8" s="62"/>
      <c r="Y8" s="62"/>
      <c r="Z8" s="62"/>
    </row>
    <row r="9" ht="18.75" customHeight="1">
      <c r="B9" s="61" t="s">
        <v>3828</v>
      </c>
      <c r="D9" s="62" t="s">
        <v>4034</v>
      </c>
      <c r="E9" s="62" t="s">
        <v>4035</v>
      </c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  <c r="R9" s="62"/>
      <c r="S9" s="62"/>
      <c r="T9" s="62"/>
      <c r="U9" s="62"/>
      <c r="V9" s="62"/>
      <c r="W9" s="62"/>
      <c r="X9" s="62"/>
      <c r="Y9" s="62"/>
      <c r="Z9" s="62"/>
    </row>
    <row r="10" ht="18.75" customHeight="1">
      <c r="A10" s="61" t="s">
        <v>4031</v>
      </c>
      <c r="D10" s="62" t="s">
        <v>4036</v>
      </c>
      <c r="E10" s="62" t="s">
        <v>4037</v>
      </c>
      <c r="F10" s="62"/>
      <c r="G10" s="62"/>
      <c r="H10" s="62"/>
      <c r="I10" s="62"/>
      <c r="J10" s="62"/>
      <c r="K10" s="62"/>
      <c r="L10" s="62"/>
      <c r="M10" s="62"/>
      <c r="N10" s="62"/>
      <c r="O10" s="62"/>
      <c r="P10" s="62"/>
      <c r="Q10" s="62"/>
      <c r="R10" s="62"/>
      <c r="S10" s="62"/>
      <c r="T10" s="62"/>
      <c r="U10" s="62"/>
      <c r="V10" s="62"/>
      <c r="W10" s="62"/>
      <c r="X10" s="62"/>
      <c r="Y10" s="62"/>
      <c r="Z10" s="62"/>
    </row>
    <row r="11" ht="18.75" customHeight="1">
      <c r="A11" s="61" t="s">
        <v>4038</v>
      </c>
      <c r="D11" s="62" t="s">
        <v>4039</v>
      </c>
      <c r="E11" s="62" t="s">
        <v>4040</v>
      </c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S11" s="62"/>
      <c r="T11" s="62"/>
      <c r="U11" s="62"/>
      <c r="V11" s="62"/>
      <c r="W11" s="62"/>
      <c r="X11" s="62"/>
      <c r="Y11" s="62"/>
      <c r="Z11" s="62"/>
    </row>
    <row r="12" ht="18.75" customHeight="1">
      <c r="F12" s="62"/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  <c r="R12" s="62"/>
      <c r="S12" s="62"/>
      <c r="T12" s="62"/>
      <c r="U12" s="62"/>
      <c r="V12" s="62"/>
      <c r="W12" s="62"/>
      <c r="X12" s="62"/>
      <c r="Y12" s="62"/>
      <c r="Z12" s="62"/>
    </row>
    <row r="13" ht="18.75" customHeight="1">
      <c r="A13" s="61" t="s">
        <v>4041</v>
      </c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  <c r="T13" s="62"/>
      <c r="U13" s="62"/>
      <c r="V13" s="62"/>
      <c r="W13" s="62"/>
      <c r="X13" s="62"/>
      <c r="Y13" s="62"/>
      <c r="Z13" s="62"/>
    </row>
    <row r="14" ht="18.75" customHeight="1">
      <c r="A14" s="61" t="s">
        <v>4042</v>
      </c>
      <c r="F14" s="62"/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  <c r="R14" s="62"/>
      <c r="S14" s="62"/>
      <c r="T14" s="62"/>
      <c r="U14" s="62"/>
      <c r="V14" s="62"/>
      <c r="W14" s="62"/>
      <c r="X14" s="62"/>
      <c r="Y14" s="62"/>
      <c r="Z14" s="62"/>
    </row>
    <row r="15" ht="18.75" customHeight="1">
      <c r="A15" s="61" t="s">
        <v>4015</v>
      </c>
      <c r="B15" s="61" t="s">
        <v>3964</v>
      </c>
      <c r="D15" s="61" t="s">
        <v>3956</v>
      </c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S15" s="62"/>
      <c r="T15" s="62"/>
      <c r="U15" s="62"/>
      <c r="V15" s="62"/>
      <c r="W15" s="62"/>
      <c r="X15" s="62"/>
      <c r="Y15" s="62"/>
      <c r="Z15" s="62"/>
    </row>
    <row r="16" ht="18.75" customHeight="1">
      <c r="A16" s="61" t="s">
        <v>4016</v>
      </c>
      <c r="B16" s="62" t="s">
        <v>4017</v>
      </c>
      <c r="D16" s="62" t="s">
        <v>3068</v>
      </c>
      <c r="F16" s="62"/>
      <c r="G16" s="62"/>
      <c r="H16" s="62"/>
      <c r="I16" s="62"/>
      <c r="J16" s="62"/>
      <c r="K16" s="62"/>
      <c r="L16" s="62"/>
      <c r="M16" s="62"/>
      <c r="N16" s="62"/>
      <c r="O16" s="62"/>
      <c r="P16" s="62"/>
      <c r="Q16" s="62"/>
      <c r="R16" s="62"/>
      <c r="S16" s="62"/>
      <c r="T16" s="62"/>
      <c r="U16" s="62"/>
      <c r="V16" s="62"/>
      <c r="W16" s="62"/>
      <c r="X16" s="62"/>
      <c r="Y16" s="62"/>
      <c r="Z16" s="62"/>
    </row>
    <row r="17" ht="18.75" customHeight="1">
      <c r="A17" s="61" t="s">
        <v>4019</v>
      </c>
      <c r="B17" s="80" t="s">
        <v>3966</v>
      </c>
      <c r="C17" s="62" t="s">
        <v>3969</v>
      </c>
      <c r="D17" s="62" t="s">
        <v>4043</v>
      </c>
      <c r="F17" s="62"/>
      <c r="G17" s="62"/>
      <c r="H17" s="62"/>
      <c r="I17" s="62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  <c r="Y17" s="62"/>
      <c r="Z17" s="62"/>
    </row>
    <row r="18" ht="18.75" customHeight="1">
      <c r="A18" s="61" t="s">
        <v>4044</v>
      </c>
      <c r="C18" s="62" t="s">
        <v>4039</v>
      </c>
      <c r="D18" s="62" t="s">
        <v>4045</v>
      </c>
      <c r="F18" s="62"/>
      <c r="G18" s="62"/>
      <c r="H18" s="62"/>
      <c r="I18" s="62"/>
      <c r="J18" s="62"/>
      <c r="K18" s="62"/>
      <c r="L18" s="62"/>
      <c r="M18" s="62"/>
      <c r="N18" s="62"/>
      <c r="O18" s="62"/>
      <c r="P18" s="62"/>
      <c r="Q18" s="62"/>
      <c r="R18" s="62"/>
      <c r="S18" s="62"/>
      <c r="T18" s="62"/>
      <c r="U18" s="62"/>
      <c r="V18" s="62"/>
      <c r="W18" s="62"/>
      <c r="X18" s="62"/>
      <c r="Y18" s="62"/>
      <c r="Z18" s="62"/>
    </row>
    <row r="19" ht="18.75" customHeight="1"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S19" s="62"/>
      <c r="T19" s="62"/>
      <c r="U19" s="62"/>
      <c r="V19" s="62"/>
      <c r="W19" s="62"/>
      <c r="X19" s="62"/>
      <c r="Y19" s="62"/>
      <c r="Z19" s="62"/>
    </row>
    <row r="20" ht="18.75" customHeight="1">
      <c r="A20" s="61" t="s">
        <v>4046</v>
      </c>
      <c r="F20" s="62"/>
      <c r="G20" s="62"/>
      <c r="H20" s="62"/>
      <c r="I20" s="62"/>
      <c r="J20" s="62"/>
      <c r="K20" s="62"/>
      <c r="L20" s="62"/>
      <c r="M20" s="62"/>
      <c r="N20" s="62"/>
      <c r="O20" s="62"/>
      <c r="P20" s="62"/>
      <c r="Q20" s="62"/>
      <c r="R20" s="62"/>
      <c r="S20" s="62"/>
      <c r="T20" s="62"/>
      <c r="U20" s="62"/>
      <c r="V20" s="62"/>
      <c r="W20" s="62"/>
      <c r="X20" s="62"/>
      <c r="Y20" s="62"/>
      <c r="Z20" s="62"/>
    </row>
    <row r="21" ht="18.75" customHeight="1">
      <c r="A21" s="61" t="s">
        <v>4015</v>
      </c>
      <c r="B21" s="61" t="s">
        <v>3964</v>
      </c>
      <c r="D21" s="61" t="s">
        <v>3956</v>
      </c>
      <c r="F21" s="62"/>
      <c r="G21" s="62"/>
      <c r="H21" s="62"/>
      <c r="I21" s="62"/>
      <c r="J21" s="62"/>
      <c r="K21" s="62"/>
      <c r="L21" s="62"/>
      <c r="M21" s="62"/>
      <c r="N21" s="62"/>
      <c r="O21" s="62"/>
      <c r="P21" s="62"/>
      <c r="Q21" s="62"/>
      <c r="R21" s="62"/>
      <c r="S21" s="62"/>
      <c r="T21" s="62"/>
      <c r="U21" s="62"/>
      <c r="V21" s="62"/>
      <c r="W21" s="62"/>
      <c r="X21" s="62"/>
      <c r="Y21" s="62"/>
      <c r="Z21" s="62"/>
    </row>
    <row r="22" ht="18.75" customHeight="1">
      <c r="A22" s="61" t="s">
        <v>4016</v>
      </c>
      <c r="B22" s="62" t="s">
        <v>4017</v>
      </c>
      <c r="D22" s="62" t="s">
        <v>4047</v>
      </c>
      <c r="F22" s="62"/>
      <c r="G22" s="62"/>
      <c r="H22" s="62"/>
      <c r="I22" s="62"/>
      <c r="J22" s="62"/>
      <c r="K22" s="62"/>
      <c r="L22" s="62"/>
      <c r="M22" s="62"/>
      <c r="N22" s="62"/>
      <c r="O22" s="62"/>
      <c r="P22" s="62"/>
      <c r="Q22" s="62"/>
      <c r="R22" s="62"/>
      <c r="S22" s="62"/>
      <c r="T22" s="62"/>
      <c r="U22" s="62"/>
      <c r="V22" s="62"/>
      <c r="W22" s="62"/>
      <c r="X22" s="62"/>
      <c r="Y22" s="62"/>
      <c r="Z22" s="62"/>
    </row>
    <row r="23" ht="18.75" customHeight="1">
      <c r="A23" s="61" t="s">
        <v>4019</v>
      </c>
      <c r="D23" s="62" t="s">
        <v>4047</v>
      </c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S23" s="62"/>
      <c r="T23" s="62"/>
      <c r="U23" s="62"/>
      <c r="V23" s="62"/>
      <c r="W23" s="62"/>
      <c r="X23" s="62"/>
      <c r="Y23" s="62"/>
      <c r="Z23" s="62"/>
    </row>
    <row r="24" ht="18.75" customHeight="1">
      <c r="A24" s="61" t="s">
        <v>4044</v>
      </c>
      <c r="B24" s="80" t="s">
        <v>3966</v>
      </c>
      <c r="C24" s="62" t="s">
        <v>4039</v>
      </c>
      <c r="D24" s="62" t="s">
        <v>4048</v>
      </c>
      <c r="F24" s="62"/>
      <c r="G24" s="62"/>
      <c r="H24" s="62"/>
      <c r="I24" s="62"/>
      <c r="J24" s="62"/>
      <c r="K24" s="62"/>
      <c r="L24" s="62"/>
      <c r="M24" s="62"/>
      <c r="N24" s="62"/>
      <c r="O24" s="62"/>
      <c r="P24" s="62"/>
      <c r="Q24" s="62"/>
      <c r="R24" s="62"/>
      <c r="S24" s="62"/>
      <c r="T24" s="62"/>
      <c r="U24" s="62"/>
      <c r="V24" s="62"/>
      <c r="W24" s="62"/>
      <c r="X24" s="62"/>
      <c r="Y24" s="62"/>
      <c r="Z24" s="62"/>
    </row>
    <row r="25" ht="18.75" customHeight="1">
      <c r="A25" s="62"/>
      <c r="B25" s="62"/>
      <c r="C25" s="62"/>
      <c r="D25" s="62"/>
      <c r="E25" s="62"/>
      <c r="F25" s="62"/>
      <c r="G25" s="62"/>
      <c r="H25" s="62"/>
      <c r="I25" s="62"/>
      <c r="J25" s="62"/>
      <c r="K25" s="62"/>
      <c r="L25" s="62"/>
      <c r="M25" s="62"/>
      <c r="N25" s="62"/>
      <c r="O25" s="62"/>
      <c r="P25" s="62"/>
      <c r="Q25" s="62"/>
      <c r="R25" s="62"/>
      <c r="S25" s="62"/>
      <c r="T25" s="62"/>
      <c r="U25" s="62"/>
      <c r="V25" s="62"/>
      <c r="W25" s="62"/>
      <c r="X25" s="62"/>
      <c r="Y25" s="62"/>
      <c r="Z25" s="62"/>
    </row>
    <row r="26" ht="18.75" customHeight="1">
      <c r="A26" s="61" t="s">
        <v>4049</v>
      </c>
      <c r="F26" s="62"/>
      <c r="G26" s="62"/>
      <c r="H26" s="62"/>
      <c r="I26" s="62"/>
      <c r="J26" s="62"/>
      <c r="K26" s="62"/>
      <c r="L26" s="62"/>
      <c r="M26" s="62"/>
      <c r="N26" s="62"/>
      <c r="O26" s="62"/>
      <c r="P26" s="62"/>
      <c r="Q26" s="62"/>
      <c r="R26" s="62"/>
      <c r="S26" s="62"/>
      <c r="T26" s="62"/>
      <c r="U26" s="62"/>
      <c r="V26" s="62"/>
      <c r="W26" s="62"/>
      <c r="X26" s="62"/>
      <c r="Y26" s="62"/>
      <c r="Z26" s="62"/>
    </row>
    <row r="27" ht="18.75" customHeight="1">
      <c r="A27" s="61" t="s">
        <v>4015</v>
      </c>
      <c r="B27" s="61" t="s">
        <v>3964</v>
      </c>
      <c r="D27" s="61" t="s">
        <v>3956</v>
      </c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S27" s="62"/>
      <c r="T27" s="62"/>
      <c r="U27" s="62"/>
      <c r="V27" s="62"/>
      <c r="W27" s="62"/>
      <c r="X27" s="62"/>
      <c r="Y27" s="62"/>
      <c r="Z27" s="62"/>
    </row>
    <row r="28" ht="18.75" customHeight="1">
      <c r="A28" s="61" t="s">
        <v>4016</v>
      </c>
      <c r="B28" s="62" t="s">
        <v>4017</v>
      </c>
      <c r="D28" s="62" t="s">
        <v>4050</v>
      </c>
      <c r="F28" s="62"/>
      <c r="G28" s="62"/>
      <c r="H28" s="62"/>
      <c r="I28" s="62"/>
      <c r="J28" s="62"/>
      <c r="K28" s="62"/>
      <c r="L28" s="62"/>
      <c r="M28" s="62"/>
      <c r="N28" s="62"/>
      <c r="O28" s="62"/>
      <c r="P28" s="62"/>
      <c r="Q28" s="62"/>
      <c r="R28" s="62"/>
      <c r="S28" s="62"/>
      <c r="T28" s="62"/>
      <c r="U28" s="62"/>
      <c r="V28" s="62"/>
      <c r="W28" s="62"/>
      <c r="X28" s="62"/>
      <c r="Y28" s="62"/>
      <c r="Z28" s="62"/>
    </row>
    <row r="29" ht="18.75" customHeight="1">
      <c r="A29" s="61" t="s">
        <v>4019</v>
      </c>
      <c r="D29" s="62" t="s">
        <v>4050</v>
      </c>
      <c r="F29" s="62"/>
      <c r="G29" s="62"/>
      <c r="H29" s="62"/>
      <c r="I29" s="62"/>
      <c r="J29" s="62"/>
      <c r="K29" s="62"/>
      <c r="L29" s="62"/>
      <c r="M29" s="62"/>
      <c r="N29" s="62"/>
      <c r="O29" s="62"/>
      <c r="P29" s="62"/>
      <c r="Q29" s="62"/>
      <c r="R29" s="62"/>
      <c r="S29" s="62"/>
      <c r="T29" s="62"/>
      <c r="U29" s="62"/>
      <c r="V29" s="62"/>
      <c r="W29" s="62"/>
      <c r="X29" s="62"/>
      <c r="Y29" s="62"/>
      <c r="Z29" s="62"/>
    </row>
    <row r="30" ht="18.75" customHeight="1">
      <c r="A30" s="61" t="s">
        <v>4044</v>
      </c>
      <c r="B30" s="80" t="s">
        <v>3966</v>
      </c>
      <c r="C30" s="62" t="s">
        <v>4039</v>
      </c>
      <c r="D30" s="62" t="s">
        <v>4051</v>
      </c>
      <c r="F30" s="62"/>
      <c r="G30" s="62"/>
      <c r="H30" s="62"/>
      <c r="I30" s="62"/>
      <c r="J30" s="62"/>
      <c r="K30" s="62"/>
      <c r="L30" s="62"/>
      <c r="M30" s="62"/>
      <c r="N30" s="62"/>
      <c r="O30" s="62"/>
      <c r="P30" s="62"/>
      <c r="Q30" s="62"/>
      <c r="R30" s="62"/>
      <c r="S30" s="62"/>
      <c r="T30" s="62"/>
      <c r="U30" s="62"/>
      <c r="V30" s="62"/>
      <c r="W30" s="62"/>
      <c r="X30" s="62"/>
      <c r="Y30" s="62"/>
      <c r="Z30" s="62"/>
    </row>
    <row r="31" ht="18.75" customHeight="1">
      <c r="A31" s="62"/>
      <c r="B31" s="62"/>
      <c r="C31" s="62"/>
      <c r="D31" s="62"/>
      <c r="E31" s="62"/>
      <c r="F31" s="62"/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R31" s="62"/>
      <c r="S31" s="62"/>
      <c r="T31" s="62"/>
      <c r="U31" s="62"/>
      <c r="V31" s="62"/>
      <c r="W31" s="62"/>
      <c r="X31" s="62"/>
      <c r="Y31" s="62"/>
      <c r="Z31" s="62"/>
    </row>
    <row r="32" ht="18.75" customHeight="1">
      <c r="A32" s="62"/>
      <c r="B32" s="62"/>
      <c r="C32" s="62"/>
      <c r="D32" s="62"/>
      <c r="E32" s="62"/>
      <c r="F32" s="62"/>
      <c r="G32" s="62"/>
      <c r="H32" s="62"/>
      <c r="I32" s="62"/>
      <c r="J32" s="62"/>
      <c r="K32" s="62"/>
      <c r="L32" s="62"/>
      <c r="M32" s="62"/>
      <c r="N32" s="62"/>
      <c r="O32" s="62"/>
      <c r="P32" s="62"/>
      <c r="Q32" s="62"/>
      <c r="R32" s="62"/>
      <c r="S32" s="62"/>
      <c r="T32" s="62"/>
      <c r="U32" s="62"/>
      <c r="V32" s="62"/>
      <c r="W32" s="62"/>
      <c r="X32" s="62"/>
      <c r="Y32" s="62"/>
      <c r="Z32" s="62"/>
    </row>
    <row r="33" ht="18.75" customHeight="1">
      <c r="A33" s="62"/>
      <c r="B33" s="62"/>
      <c r="C33" s="62"/>
      <c r="D33" s="62"/>
      <c r="E33" s="62"/>
      <c r="F33" s="62"/>
      <c r="G33" s="62"/>
      <c r="H33" s="62"/>
      <c r="I33" s="62"/>
      <c r="J33" s="62"/>
      <c r="K33" s="62"/>
      <c r="L33" s="62"/>
      <c r="M33" s="62"/>
      <c r="N33" s="62"/>
      <c r="O33" s="62"/>
      <c r="P33" s="62"/>
      <c r="Q33" s="62"/>
      <c r="R33" s="62"/>
      <c r="S33" s="62"/>
      <c r="T33" s="62"/>
      <c r="U33" s="62"/>
      <c r="V33" s="62"/>
      <c r="W33" s="62"/>
      <c r="X33" s="62"/>
      <c r="Y33" s="62"/>
      <c r="Z33" s="62"/>
    </row>
    <row r="34" ht="18.75" customHeight="1">
      <c r="A34" s="62"/>
      <c r="B34" s="62"/>
      <c r="C34" s="62"/>
      <c r="D34" s="62"/>
      <c r="E34" s="62"/>
      <c r="F34" s="62"/>
      <c r="G34" s="62"/>
      <c r="H34" s="62"/>
      <c r="I34" s="62"/>
      <c r="J34" s="62"/>
      <c r="K34" s="62"/>
      <c r="L34" s="62"/>
      <c r="M34" s="62"/>
      <c r="N34" s="62"/>
      <c r="O34" s="62"/>
      <c r="P34" s="62"/>
      <c r="Q34" s="62"/>
      <c r="R34" s="62"/>
      <c r="S34" s="62"/>
      <c r="T34" s="62"/>
      <c r="U34" s="62"/>
      <c r="V34" s="62"/>
      <c r="W34" s="62"/>
      <c r="X34" s="62"/>
      <c r="Y34" s="62"/>
      <c r="Z34" s="62"/>
    </row>
    <row r="35" ht="18.75" customHeight="1">
      <c r="A35" s="62"/>
      <c r="B35" s="62"/>
      <c r="C35" s="62"/>
      <c r="D35" s="62"/>
      <c r="E35" s="62"/>
      <c r="F35" s="62"/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S35" s="62"/>
      <c r="T35" s="62"/>
      <c r="U35" s="62"/>
      <c r="V35" s="62"/>
      <c r="W35" s="62"/>
      <c r="X35" s="62"/>
      <c r="Y35" s="62"/>
      <c r="Z35" s="62"/>
    </row>
    <row r="36" ht="18.75" customHeight="1">
      <c r="A36" s="62"/>
      <c r="B36" s="62"/>
      <c r="C36" s="62"/>
      <c r="D36" s="62"/>
      <c r="E36" s="62"/>
      <c r="F36" s="62"/>
      <c r="G36" s="62"/>
      <c r="H36" s="62"/>
      <c r="I36" s="62"/>
      <c r="J36" s="62"/>
      <c r="K36" s="62"/>
      <c r="L36" s="62"/>
      <c r="M36" s="62"/>
      <c r="N36" s="62"/>
      <c r="O36" s="62"/>
      <c r="P36" s="62"/>
      <c r="Q36" s="62"/>
      <c r="R36" s="62"/>
      <c r="S36" s="62"/>
      <c r="T36" s="62"/>
      <c r="U36" s="62"/>
      <c r="V36" s="62"/>
      <c r="W36" s="62"/>
      <c r="X36" s="62"/>
      <c r="Y36" s="62"/>
      <c r="Z36" s="62"/>
    </row>
    <row r="37" ht="18.75" customHeight="1">
      <c r="A37" s="62"/>
      <c r="B37" s="62"/>
      <c r="C37" s="62"/>
      <c r="D37" s="62"/>
      <c r="E37" s="62"/>
      <c r="F37" s="62"/>
      <c r="G37" s="62"/>
      <c r="H37" s="62"/>
      <c r="I37" s="62"/>
      <c r="J37" s="62"/>
      <c r="K37" s="62"/>
      <c r="L37" s="62"/>
      <c r="M37" s="62"/>
      <c r="N37" s="62"/>
      <c r="O37" s="62"/>
      <c r="P37" s="62"/>
      <c r="Q37" s="62"/>
      <c r="R37" s="62"/>
      <c r="S37" s="62"/>
      <c r="T37" s="62"/>
      <c r="U37" s="62"/>
      <c r="V37" s="62"/>
      <c r="W37" s="62"/>
      <c r="X37" s="62"/>
      <c r="Y37" s="62"/>
      <c r="Z37" s="62"/>
    </row>
    <row r="38" ht="18.75" customHeight="1">
      <c r="A38" s="62"/>
      <c r="B38" s="62"/>
      <c r="C38" s="62"/>
      <c r="D38" s="62"/>
      <c r="E38" s="62"/>
      <c r="F38" s="62"/>
      <c r="G38" s="62"/>
      <c r="H38" s="62"/>
      <c r="I38" s="62"/>
      <c r="J38" s="62"/>
      <c r="K38" s="62"/>
      <c r="L38" s="62"/>
      <c r="M38" s="62"/>
      <c r="N38" s="62"/>
      <c r="O38" s="62"/>
      <c r="P38" s="62"/>
      <c r="Q38" s="62"/>
      <c r="R38" s="62"/>
      <c r="S38" s="62"/>
      <c r="T38" s="62"/>
      <c r="U38" s="62"/>
      <c r="V38" s="62"/>
      <c r="W38" s="62"/>
      <c r="X38" s="62"/>
      <c r="Y38" s="62"/>
      <c r="Z38" s="62"/>
    </row>
    <row r="39" ht="18.75" customHeight="1">
      <c r="A39" s="62"/>
      <c r="B39" s="62"/>
      <c r="C39" s="62"/>
      <c r="D39" s="62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R39" s="62"/>
      <c r="S39" s="62"/>
      <c r="T39" s="62"/>
      <c r="U39" s="62"/>
      <c r="V39" s="62"/>
      <c r="W39" s="62"/>
      <c r="X39" s="62"/>
      <c r="Y39" s="62"/>
      <c r="Z39" s="62"/>
    </row>
    <row r="40" ht="18.75" customHeight="1">
      <c r="A40" s="62"/>
      <c r="B40" s="62"/>
      <c r="C40" s="62"/>
      <c r="D40" s="62"/>
      <c r="E40" s="62"/>
      <c r="F40" s="62"/>
      <c r="G40" s="62"/>
      <c r="H40" s="62"/>
      <c r="I40" s="62"/>
      <c r="J40" s="62"/>
      <c r="K40" s="62"/>
      <c r="L40" s="62"/>
      <c r="M40" s="62"/>
      <c r="N40" s="62"/>
      <c r="O40" s="62"/>
      <c r="P40" s="62"/>
      <c r="Q40" s="62"/>
      <c r="R40" s="62"/>
      <c r="S40" s="62"/>
      <c r="T40" s="62"/>
      <c r="U40" s="62"/>
      <c r="V40" s="62"/>
      <c r="W40" s="62"/>
      <c r="X40" s="62"/>
      <c r="Y40" s="62"/>
      <c r="Z40" s="62"/>
    </row>
    <row r="41" ht="18.75" customHeight="1">
      <c r="A41" s="62"/>
      <c r="B41" s="62"/>
      <c r="C41" s="62"/>
      <c r="D41" s="62"/>
      <c r="E41" s="62"/>
      <c r="F41" s="62"/>
      <c r="G41" s="62"/>
      <c r="H41" s="62"/>
      <c r="I41" s="62"/>
      <c r="J41" s="62"/>
      <c r="K41" s="62"/>
      <c r="L41" s="62"/>
      <c r="M41" s="62"/>
      <c r="N41" s="62"/>
      <c r="O41" s="62"/>
      <c r="P41" s="62"/>
      <c r="Q41" s="62"/>
      <c r="R41" s="62"/>
      <c r="S41" s="62"/>
      <c r="T41" s="62"/>
      <c r="U41" s="62"/>
      <c r="V41" s="62"/>
      <c r="W41" s="62"/>
      <c r="X41" s="62"/>
      <c r="Y41" s="62"/>
      <c r="Z41" s="62"/>
    </row>
    <row r="42" ht="18.75" customHeight="1">
      <c r="A42" s="62"/>
      <c r="B42" s="62"/>
      <c r="C42" s="62"/>
      <c r="D42" s="62"/>
      <c r="E42" s="62"/>
      <c r="F42" s="62"/>
      <c r="G42" s="62"/>
      <c r="H42" s="62"/>
      <c r="I42" s="62"/>
      <c r="J42" s="62"/>
      <c r="K42" s="62"/>
      <c r="L42" s="62"/>
      <c r="M42" s="62"/>
      <c r="N42" s="62"/>
      <c r="O42" s="62"/>
      <c r="P42" s="62"/>
      <c r="Q42" s="62"/>
      <c r="R42" s="62"/>
      <c r="S42" s="62"/>
      <c r="T42" s="62"/>
      <c r="U42" s="62"/>
      <c r="V42" s="62"/>
      <c r="W42" s="62"/>
      <c r="X42" s="62"/>
      <c r="Y42" s="62"/>
      <c r="Z42" s="62"/>
    </row>
    <row r="43" ht="18.75" customHeight="1">
      <c r="A43" s="62"/>
      <c r="B43" s="62"/>
      <c r="C43" s="62"/>
      <c r="D43" s="62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S43" s="62"/>
      <c r="T43" s="62"/>
      <c r="U43" s="62"/>
      <c r="V43" s="62"/>
      <c r="W43" s="62"/>
      <c r="X43" s="62"/>
      <c r="Y43" s="62"/>
      <c r="Z43" s="62"/>
    </row>
    <row r="44" ht="18.75" customHeight="1">
      <c r="A44" s="62"/>
      <c r="B44" s="62"/>
      <c r="C44" s="62"/>
      <c r="D44" s="62"/>
      <c r="E44" s="62"/>
      <c r="F44" s="62"/>
      <c r="G44" s="62"/>
      <c r="H44" s="62"/>
      <c r="I44" s="62"/>
      <c r="J44" s="62"/>
      <c r="K44" s="62"/>
      <c r="L44" s="62"/>
      <c r="M44" s="62"/>
      <c r="N44" s="62"/>
      <c r="O44" s="62"/>
      <c r="P44" s="62"/>
      <c r="Q44" s="62"/>
      <c r="R44" s="62"/>
      <c r="S44" s="62"/>
      <c r="T44" s="62"/>
      <c r="U44" s="62"/>
      <c r="V44" s="62"/>
      <c r="W44" s="62"/>
      <c r="X44" s="62"/>
      <c r="Y44" s="62"/>
      <c r="Z44" s="62"/>
    </row>
    <row r="45" ht="18.75" customHeight="1">
      <c r="A45" s="62"/>
      <c r="B45" s="62"/>
      <c r="C45" s="62"/>
      <c r="D45" s="62"/>
      <c r="E45" s="62"/>
      <c r="F45" s="62"/>
      <c r="G45" s="62"/>
      <c r="H45" s="62"/>
      <c r="I45" s="62"/>
      <c r="J45" s="62"/>
      <c r="K45" s="62"/>
      <c r="L45" s="62"/>
      <c r="M45" s="62"/>
      <c r="N45" s="62"/>
      <c r="O45" s="62"/>
      <c r="P45" s="62"/>
      <c r="Q45" s="62"/>
      <c r="R45" s="62"/>
      <c r="S45" s="62"/>
      <c r="T45" s="62"/>
      <c r="U45" s="62"/>
      <c r="V45" s="62"/>
      <c r="W45" s="62"/>
      <c r="X45" s="62"/>
      <c r="Y45" s="62"/>
      <c r="Z45" s="62"/>
    </row>
    <row r="46" ht="18.75" customHeight="1">
      <c r="A46" s="62"/>
      <c r="B46" s="62"/>
      <c r="C46" s="62"/>
      <c r="D46" s="62"/>
      <c r="E46" s="62"/>
      <c r="F46" s="62"/>
      <c r="G46" s="62"/>
      <c r="H46" s="62"/>
      <c r="I46" s="62"/>
      <c r="J46" s="62"/>
      <c r="K46" s="62"/>
      <c r="L46" s="62"/>
      <c r="M46" s="62"/>
      <c r="N46" s="62"/>
      <c r="O46" s="62"/>
      <c r="P46" s="62"/>
      <c r="Q46" s="62"/>
      <c r="R46" s="62"/>
      <c r="S46" s="62"/>
      <c r="T46" s="62"/>
      <c r="U46" s="62"/>
      <c r="V46" s="62"/>
      <c r="W46" s="62"/>
      <c r="X46" s="62"/>
      <c r="Y46" s="62"/>
      <c r="Z46" s="62"/>
    </row>
    <row r="47" ht="18.75" customHeight="1">
      <c r="A47" s="62"/>
      <c r="B47" s="62"/>
      <c r="C47" s="62"/>
      <c r="D47" s="62"/>
      <c r="E47" s="62"/>
      <c r="F47" s="62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/>
      <c r="S47" s="62"/>
      <c r="T47" s="62"/>
      <c r="U47" s="62"/>
      <c r="V47" s="62"/>
      <c r="W47" s="62"/>
      <c r="X47" s="62"/>
      <c r="Y47" s="62"/>
      <c r="Z47" s="62"/>
    </row>
    <row r="48" ht="18.75" customHeight="1">
      <c r="A48" s="62"/>
      <c r="B48" s="62"/>
      <c r="C48" s="62"/>
      <c r="D48" s="62"/>
      <c r="E48" s="62"/>
      <c r="F48" s="62"/>
      <c r="G48" s="62"/>
      <c r="H48" s="62"/>
      <c r="I48" s="62"/>
      <c r="J48" s="62"/>
      <c r="K48" s="62"/>
      <c r="L48" s="62"/>
      <c r="M48" s="62"/>
      <c r="N48" s="62"/>
      <c r="O48" s="62"/>
      <c r="P48" s="62"/>
      <c r="Q48" s="62"/>
      <c r="R48" s="62"/>
      <c r="S48" s="62"/>
      <c r="T48" s="62"/>
      <c r="U48" s="62"/>
      <c r="V48" s="62"/>
      <c r="W48" s="62"/>
      <c r="X48" s="62"/>
      <c r="Y48" s="62"/>
      <c r="Z48" s="62"/>
    </row>
    <row r="49" ht="18.75" customHeight="1">
      <c r="A49" s="62"/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62"/>
      <c r="M49" s="62"/>
      <c r="N49" s="62"/>
      <c r="O49" s="62"/>
      <c r="P49" s="62"/>
      <c r="Q49" s="62"/>
      <c r="R49" s="62"/>
      <c r="S49" s="62"/>
      <c r="T49" s="62"/>
      <c r="U49" s="62"/>
      <c r="V49" s="62"/>
      <c r="W49" s="62"/>
      <c r="X49" s="62"/>
      <c r="Y49" s="62"/>
      <c r="Z49" s="62"/>
    </row>
    <row r="50" ht="18.75" customHeight="1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62"/>
      <c r="M50" s="62"/>
      <c r="N50" s="62"/>
      <c r="O50" s="62"/>
      <c r="P50" s="62"/>
      <c r="Q50" s="62"/>
      <c r="R50" s="62"/>
      <c r="S50" s="62"/>
      <c r="T50" s="62"/>
      <c r="U50" s="62"/>
      <c r="V50" s="62"/>
      <c r="W50" s="62"/>
      <c r="X50" s="62"/>
      <c r="Y50" s="62"/>
      <c r="Z50" s="62"/>
    </row>
    <row r="51" ht="18.75" customHeight="1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S51" s="62"/>
      <c r="T51" s="62"/>
      <c r="U51" s="62"/>
      <c r="V51" s="62"/>
      <c r="W51" s="62"/>
      <c r="X51" s="62"/>
      <c r="Y51" s="62"/>
      <c r="Z51" s="62"/>
    </row>
    <row r="52" ht="18.75" customHeight="1">
      <c r="A52" s="62"/>
      <c r="B52" s="62"/>
      <c r="C52" s="62"/>
      <c r="D52" s="62"/>
      <c r="E52" s="62"/>
      <c r="F52" s="62"/>
      <c r="G52" s="62"/>
      <c r="H52" s="62"/>
      <c r="I52" s="62"/>
      <c r="J52" s="62"/>
      <c r="K52" s="62"/>
      <c r="L52" s="62"/>
      <c r="M52" s="62"/>
      <c r="N52" s="62"/>
      <c r="O52" s="62"/>
      <c r="P52" s="62"/>
      <c r="Q52" s="62"/>
      <c r="R52" s="62"/>
      <c r="S52" s="62"/>
      <c r="T52" s="62"/>
      <c r="U52" s="62"/>
      <c r="V52" s="62"/>
      <c r="W52" s="62"/>
      <c r="X52" s="62"/>
      <c r="Y52" s="62"/>
      <c r="Z52" s="62"/>
    </row>
    <row r="53" ht="18.75" customHeight="1">
      <c r="A53" s="62"/>
      <c r="B53" s="62"/>
      <c r="C53" s="62"/>
      <c r="D53" s="62"/>
      <c r="E53" s="62"/>
      <c r="F53" s="62"/>
      <c r="G53" s="62"/>
      <c r="H53" s="62"/>
      <c r="I53" s="62"/>
      <c r="J53" s="62"/>
      <c r="K53" s="62"/>
      <c r="L53" s="62"/>
      <c r="M53" s="62"/>
      <c r="N53" s="62"/>
      <c r="O53" s="62"/>
      <c r="P53" s="62"/>
      <c r="Q53" s="62"/>
      <c r="R53" s="62"/>
      <c r="S53" s="62"/>
      <c r="T53" s="62"/>
      <c r="U53" s="62"/>
      <c r="V53" s="62"/>
      <c r="W53" s="62"/>
      <c r="X53" s="62"/>
      <c r="Y53" s="62"/>
      <c r="Z53" s="62"/>
    </row>
    <row r="54" ht="18.75" customHeight="1">
      <c r="A54" s="62"/>
      <c r="B54" s="62"/>
      <c r="C54" s="62"/>
      <c r="D54" s="62"/>
      <c r="E54" s="62"/>
      <c r="F54" s="62"/>
      <c r="G54" s="62"/>
      <c r="H54" s="62"/>
      <c r="I54" s="62"/>
      <c r="J54" s="62"/>
      <c r="K54" s="62"/>
      <c r="L54" s="62"/>
      <c r="M54" s="62"/>
      <c r="N54" s="62"/>
      <c r="O54" s="62"/>
      <c r="P54" s="62"/>
      <c r="Q54" s="62"/>
      <c r="R54" s="62"/>
      <c r="S54" s="62"/>
      <c r="T54" s="62"/>
      <c r="U54" s="62"/>
      <c r="V54" s="62"/>
      <c r="W54" s="62"/>
      <c r="X54" s="62"/>
      <c r="Y54" s="62"/>
      <c r="Z54" s="62"/>
    </row>
    <row r="55" ht="18.75" customHeight="1">
      <c r="A55" s="62"/>
      <c r="B55" s="62"/>
      <c r="C55" s="62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S55" s="62"/>
      <c r="T55" s="62"/>
      <c r="U55" s="62"/>
      <c r="V55" s="62"/>
      <c r="W55" s="62"/>
      <c r="X55" s="62"/>
      <c r="Y55" s="62"/>
      <c r="Z55" s="62"/>
    </row>
    <row r="56" ht="18.75" customHeight="1">
      <c r="A56" s="62"/>
      <c r="B56" s="62"/>
      <c r="C56" s="62"/>
      <c r="D56" s="62"/>
      <c r="E56" s="62"/>
      <c r="F56" s="62"/>
      <c r="G56" s="62"/>
      <c r="H56" s="62"/>
      <c r="I56" s="62"/>
      <c r="J56" s="62"/>
      <c r="K56" s="62"/>
      <c r="L56" s="62"/>
      <c r="M56" s="62"/>
      <c r="N56" s="62"/>
      <c r="O56" s="62"/>
      <c r="P56" s="62"/>
      <c r="Q56" s="62"/>
      <c r="R56" s="62"/>
      <c r="S56" s="62"/>
      <c r="T56" s="62"/>
      <c r="U56" s="62"/>
      <c r="V56" s="62"/>
      <c r="W56" s="62"/>
      <c r="X56" s="62"/>
      <c r="Y56" s="62"/>
      <c r="Z56" s="62"/>
    </row>
    <row r="57" ht="18.75" customHeight="1">
      <c r="A57" s="62"/>
      <c r="B57" s="62"/>
      <c r="C57" s="62"/>
      <c r="D57" s="62"/>
      <c r="E57" s="62"/>
      <c r="F57" s="62"/>
      <c r="G57" s="62"/>
      <c r="H57" s="62"/>
      <c r="I57" s="62"/>
      <c r="J57" s="62"/>
      <c r="K57" s="62"/>
      <c r="L57" s="62"/>
      <c r="M57" s="62"/>
      <c r="N57" s="62"/>
      <c r="O57" s="62"/>
      <c r="P57" s="62"/>
      <c r="Q57" s="62"/>
      <c r="R57" s="62"/>
      <c r="S57" s="62"/>
      <c r="T57" s="62"/>
      <c r="U57" s="62"/>
      <c r="V57" s="62"/>
      <c r="W57" s="62"/>
      <c r="X57" s="62"/>
      <c r="Y57" s="62"/>
      <c r="Z57" s="62"/>
    </row>
    <row r="58" ht="18.75" customHeight="1">
      <c r="A58" s="62"/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62"/>
      <c r="M58" s="62"/>
      <c r="N58" s="62"/>
      <c r="O58" s="62"/>
      <c r="P58" s="62"/>
      <c r="Q58" s="62"/>
      <c r="R58" s="62"/>
      <c r="S58" s="62"/>
      <c r="T58" s="62"/>
      <c r="U58" s="62"/>
      <c r="V58" s="62"/>
      <c r="W58" s="62"/>
      <c r="X58" s="62"/>
      <c r="Y58" s="62"/>
      <c r="Z58" s="62"/>
    </row>
    <row r="59" ht="18.75" customHeight="1">
      <c r="A59" s="62"/>
      <c r="B59" s="62"/>
      <c r="C59" s="62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  <c r="R59" s="62"/>
      <c r="S59" s="62"/>
      <c r="T59" s="62"/>
      <c r="U59" s="62"/>
      <c r="V59" s="62"/>
      <c r="W59" s="62"/>
      <c r="X59" s="62"/>
      <c r="Y59" s="62"/>
      <c r="Z59" s="62"/>
    </row>
    <row r="60" ht="18.75" customHeight="1">
      <c r="A60" s="62"/>
      <c r="B60" s="62"/>
      <c r="C60" s="62"/>
      <c r="D60" s="62"/>
      <c r="E60" s="62"/>
      <c r="F60" s="62"/>
      <c r="G60" s="62"/>
      <c r="H60" s="62"/>
      <c r="I60" s="62"/>
      <c r="J60" s="62"/>
      <c r="K60" s="62"/>
      <c r="L60" s="62"/>
      <c r="M60" s="62"/>
      <c r="N60" s="62"/>
      <c r="O60" s="62"/>
      <c r="P60" s="62"/>
      <c r="Q60" s="62"/>
      <c r="R60" s="62"/>
      <c r="S60" s="62"/>
      <c r="T60" s="62"/>
      <c r="U60" s="62"/>
      <c r="V60" s="62"/>
      <c r="W60" s="62"/>
      <c r="X60" s="62"/>
      <c r="Y60" s="62"/>
      <c r="Z60" s="62"/>
    </row>
    <row r="61" ht="18.75" customHeight="1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62"/>
      <c r="M61" s="62"/>
      <c r="N61" s="62"/>
      <c r="O61" s="62"/>
      <c r="P61" s="62"/>
      <c r="Q61" s="62"/>
      <c r="R61" s="62"/>
      <c r="S61" s="62"/>
      <c r="T61" s="62"/>
      <c r="U61" s="62"/>
      <c r="V61" s="62"/>
      <c r="W61" s="62"/>
      <c r="X61" s="62"/>
      <c r="Y61" s="62"/>
      <c r="Z61" s="62"/>
    </row>
    <row r="62" ht="18.75" customHeight="1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62"/>
      <c r="M62" s="62"/>
      <c r="N62" s="62"/>
      <c r="O62" s="62"/>
      <c r="P62" s="62"/>
      <c r="Q62" s="62"/>
      <c r="R62" s="62"/>
      <c r="S62" s="62"/>
      <c r="T62" s="62"/>
      <c r="U62" s="62"/>
      <c r="V62" s="62"/>
      <c r="W62" s="62"/>
      <c r="X62" s="62"/>
      <c r="Y62" s="62"/>
      <c r="Z62" s="62"/>
    </row>
    <row r="63" ht="18.75" customHeight="1">
      <c r="A63" s="62"/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S63" s="62"/>
      <c r="T63" s="62"/>
      <c r="U63" s="62"/>
      <c r="V63" s="62"/>
      <c r="W63" s="62"/>
      <c r="X63" s="62"/>
      <c r="Y63" s="62"/>
      <c r="Z63" s="62"/>
    </row>
    <row r="64" ht="18.75" customHeight="1">
      <c r="A64" s="62"/>
      <c r="B64" s="62"/>
      <c r="C64" s="62"/>
      <c r="D64" s="62"/>
      <c r="E64" s="62"/>
      <c r="F64" s="62"/>
      <c r="G64" s="62"/>
      <c r="H64" s="62"/>
      <c r="I64" s="62"/>
      <c r="J64" s="62"/>
      <c r="K64" s="62"/>
      <c r="L64" s="62"/>
      <c r="M64" s="62"/>
      <c r="N64" s="62"/>
      <c r="O64" s="62"/>
      <c r="P64" s="62"/>
      <c r="Q64" s="62"/>
      <c r="R64" s="62"/>
      <c r="S64" s="62"/>
      <c r="T64" s="62"/>
      <c r="U64" s="62"/>
      <c r="V64" s="62"/>
      <c r="W64" s="62"/>
      <c r="X64" s="62"/>
      <c r="Y64" s="62"/>
      <c r="Z64" s="62"/>
    </row>
    <row r="65" ht="18.75" customHeight="1">
      <c r="A65" s="62"/>
      <c r="B65" s="62"/>
      <c r="C65" s="62"/>
      <c r="D65" s="62"/>
      <c r="E65" s="62"/>
      <c r="F65" s="62"/>
      <c r="G65" s="62"/>
      <c r="H65" s="62"/>
      <c r="I65" s="62"/>
      <c r="J65" s="62"/>
      <c r="K65" s="62"/>
      <c r="L65" s="62"/>
      <c r="M65" s="62"/>
      <c r="N65" s="62"/>
      <c r="O65" s="62"/>
      <c r="P65" s="62"/>
      <c r="Q65" s="62"/>
      <c r="R65" s="62"/>
      <c r="S65" s="62"/>
      <c r="T65" s="62"/>
      <c r="U65" s="62"/>
      <c r="V65" s="62"/>
      <c r="W65" s="62"/>
      <c r="X65" s="62"/>
      <c r="Y65" s="62"/>
      <c r="Z65" s="62"/>
    </row>
    <row r="66" ht="18.75" customHeight="1">
      <c r="A66" s="62"/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62"/>
      <c r="M66" s="62"/>
      <c r="N66" s="62"/>
      <c r="O66" s="62"/>
      <c r="P66" s="62"/>
      <c r="Q66" s="62"/>
      <c r="R66" s="62"/>
      <c r="S66" s="62"/>
      <c r="T66" s="62"/>
      <c r="U66" s="62"/>
      <c r="V66" s="62"/>
      <c r="W66" s="62"/>
      <c r="X66" s="62"/>
      <c r="Y66" s="62"/>
      <c r="Z66" s="62"/>
    </row>
    <row r="67" ht="18.75" customHeight="1">
      <c r="A67" s="62"/>
      <c r="B67" s="62"/>
      <c r="C67" s="62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S67" s="62"/>
      <c r="T67" s="62"/>
      <c r="U67" s="62"/>
      <c r="V67" s="62"/>
      <c r="W67" s="62"/>
      <c r="X67" s="62"/>
      <c r="Y67" s="62"/>
      <c r="Z67" s="62"/>
    </row>
    <row r="68" ht="18.75" customHeight="1">
      <c r="A68" s="62"/>
      <c r="B68" s="62"/>
      <c r="C68" s="62"/>
      <c r="D68" s="62"/>
      <c r="E68" s="62"/>
      <c r="F68" s="62"/>
      <c r="G68" s="62"/>
      <c r="H68" s="62"/>
      <c r="I68" s="62"/>
      <c r="J68" s="62"/>
      <c r="K68" s="62"/>
      <c r="L68" s="62"/>
      <c r="M68" s="62"/>
      <c r="N68" s="62"/>
      <c r="O68" s="62"/>
      <c r="P68" s="62"/>
      <c r="Q68" s="62"/>
      <c r="R68" s="62"/>
      <c r="S68" s="62"/>
      <c r="T68" s="62"/>
      <c r="U68" s="62"/>
      <c r="V68" s="62"/>
      <c r="W68" s="62"/>
      <c r="X68" s="62"/>
      <c r="Y68" s="62"/>
      <c r="Z68" s="62"/>
    </row>
    <row r="69" ht="18.75" customHeight="1">
      <c r="A69" s="62"/>
      <c r="B69" s="62"/>
      <c r="C69" s="62"/>
      <c r="D69" s="62"/>
      <c r="E69" s="62"/>
      <c r="F69" s="62"/>
      <c r="G69" s="62"/>
      <c r="H69" s="62"/>
      <c r="I69" s="62"/>
      <c r="J69" s="62"/>
      <c r="K69" s="62"/>
      <c r="L69" s="62"/>
      <c r="M69" s="62"/>
      <c r="N69" s="62"/>
      <c r="O69" s="62"/>
      <c r="P69" s="62"/>
      <c r="Q69" s="62"/>
      <c r="R69" s="62"/>
      <c r="S69" s="62"/>
      <c r="T69" s="62"/>
      <c r="U69" s="62"/>
      <c r="V69" s="62"/>
      <c r="W69" s="62"/>
      <c r="X69" s="62"/>
      <c r="Y69" s="62"/>
      <c r="Z69" s="62"/>
    </row>
    <row r="70" ht="18.75" customHeight="1">
      <c r="A70" s="62"/>
      <c r="B70" s="62"/>
      <c r="C70" s="62"/>
      <c r="D70" s="62"/>
      <c r="E70" s="62"/>
      <c r="F70" s="62"/>
      <c r="G70" s="62"/>
      <c r="H70" s="62"/>
      <c r="I70" s="62"/>
      <c r="J70" s="62"/>
      <c r="K70" s="62"/>
      <c r="L70" s="62"/>
      <c r="M70" s="62"/>
      <c r="N70" s="62"/>
      <c r="O70" s="62"/>
      <c r="P70" s="62"/>
      <c r="Q70" s="62"/>
      <c r="R70" s="62"/>
      <c r="S70" s="62"/>
      <c r="T70" s="62"/>
      <c r="U70" s="62"/>
      <c r="V70" s="62"/>
      <c r="W70" s="62"/>
      <c r="X70" s="62"/>
      <c r="Y70" s="62"/>
      <c r="Z70" s="62"/>
    </row>
    <row r="71" ht="18.75" customHeight="1">
      <c r="A71" s="62"/>
      <c r="B71" s="62"/>
      <c r="C71" s="62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  <c r="R71" s="62"/>
      <c r="S71" s="62"/>
      <c r="T71" s="62"/>
      <c r="U71" s="62"/>
      <c r="V71" s="62"/>
      <c r="W71" s="62"/>
      <c r="X71" s="62"/>
      <c r="Y71" s="62"/>
      <c r="Z71" s="62"/>
    </row>
    <row r="72" ht="18.75" customHeight="1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62"/>
      <c r="M72" s="62"/>
      <c r="N72" s="62"/>
      <c r="O72" s="62"/>
      <c r="P72" s="62"/>
      <c r="Q72" s="62"/>
      <c r="R72" s="62"/>
      <c r="S72" s="62"/>
      <c r="T72" s="62"/>
      <c r="U72" s="62"/>
      <c r="V72" s="62"/>
      <c r="W72" s="62"/>
      <c r="X72" s="62"/>
      <c r="Y72" s="62"/>
      <c r="Z72" s="62"/>
    </row>
    <row r="73" ht="18.75" customHeight="1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62"/>
      <c r="M73" s="62"/>
      <c r="N73" s="62"/>
      <c r="O73" s="62"/>
      <c r="P73" s="62"/>
      <c r="Q73" s="62"/>
      <c r="R73" s="62"/>
      <c r="S73" s="62"/>
      <c r="T73" s="62"/>
      <c r="U73" s="62"/>
      <c r="V73" s="62"/>
      <c r="W73" s="62"/>
      <c r="X73" s="62"/>
      <c r="Y73" s="62"/>
      <c r="Z73" s="62"/>
    </row>
    <row r="74" ht="18.75" customHeight="1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62"/>
      <c r="M74" s="62"/>
      <c r="N74" s="62"/>
      <c r="O74" s="62"/>
      <c r="P74" s="62"/>
      <c r="Q74" s="62"/>
      <c r="R74" s="62"/>
      <c r="S74" s="62"/>
      <c r="T74" s="62"/>
      <c r="U74" s="62"/>
      <c r="V74" s="62"/>
      <c r="W74" s="62"/>
      <c r="X74" s="62"/>
      <c r="Y74" s="62"/>
      <c r="Z74" s="62"/>
    </row>
    <row r="75" ht="18.75" customHeight="1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S75" s="62"/>
      <c r="T75" s="62"/>
      <c r="U75" s="62"/>
      <c r="V75" s="62"/>
      <c r="W75" s="62"/>
      <c r="X75" s="62"/>
      <c r="Y75" s="62"/>
      <c r="Z75" s="62"/>
    </row>
    <row r="76" ht="18.75" customHeight="1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  <c r="R76" s="62"/>
      <c r="S76" s="62"/>
      <c r="T76" s="62"/>
      <c r="U76" s="62"/>
      <c r="V76" s="62"/>
      <c r="W76" s="62"/>
      <c r="X76" s="62"/>
      <c r="Y76" s="62"/>
      <c r="Z76" s="62"/>
    </row>
    <row r="77" ht="18.75" customHeight="1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  <c r="R77" s="62"/>
      <c r="S77" s="62"/>
      <c r="T77" s="62"/>
      <c r="U77" s="62"/>
      <c r="V77" s="62"/>
      <c r="W77" s="62"/>
      <c r="X77" s="62"/>
      <c r="Y77" s="62"/>
      <c r="Z77" s="62"/>
    </row>
    <row r="78" ht="18.75" customHeight="1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62"/>
      <c r="W78" s="62"/>
      <c r="X78" s="62"/>
      <c r="Y78" s="62"/>
      <c r="Z78" s="62"/>
    </row>
    <row r="79" ht="18.75" customHeight="1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62"/>
      <c r="W79" s="62"/>
      <c r="X79" s="62"/>
      <c r="Y79" s="62"/>
      <c r="Z79" s="62"/>
    </row>
    <row r="80" ht="18.75" customHeight="1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62"/>
      <c r="W80" s="62"/>
      <c r="X80" s="62"/>
      <c r="Y80" s="62"/>
      <c r="Z80" s="62"/>
    </row>
    <row r="81" ht="18.75" customHeight="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  <c r="R81" s="62"/>
      <c r="S81" s="62"/>
      <c r="T81" s="62"/>
      <c r="U81" s="62"/>
      <c r="V81" s="62"/>
      <c r="W81" s="62"/>
      <c r="X81" s="62"/>
      <c r="Y81" s="62"/>
      <c r="Z81" s="62"/>
    </row>
    <row r="82" ht="18.75" customHeight="1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  <c r="R82" s="62"/>
      <c r="S82" s="62"/>
      <c r="T82" s="62"/>
      <c r="U82" s="62"/>
      <c r="V82" s="62"/>
      <c r="W82" s="62"/>
      <c r="X82" s="62"/>
      <c r="Y82" s="62"/>
      <c r="Z82" s="62"/>
    </row>
    <row r="83" ht="18.75" customHeight="1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S83" s="62"/>
      <c r="T83" s="62"/>
      <c r="U83" s="62"/>
      <c r="V83" s="62"/>
      <c r="W83" s="62"/>
      <c r="X83" s="62"/>
      <c r="Y83" s="62"/>
      <c r="Z83" s="62"/>
    </row>
    <row r="84" ht="18.75" customHeight="1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  <c r="R84" s="62"/>
      <c r="S84" s="62"/>
      <c r="T84" s="62"/>
      <c r="U84" s="62"/>
      <c r="V84" s="62"/>
      <c r="W84" s="62"/>
      <c r="X84" s="62"/>
      <c r="Y84" s="62"/>
      <c r="Z84" s="62"/>
    </row>
    <row r="85" ht="18.75" customHeight="1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  <c r="R85" s="62"/>
      <c r="S85" s="62"/>
      <c r="T85" s="62"/>
      <c r="U85" s="62"/>
      <c r="V85" s="62"/>
      <c r="W85" s="62"/>
      <c r="X85" s="62"/>
      <c r="Y85" s="62"/>
      <c r="Z85" s="62"/>
    </row>
    <row r="86" ht="18.75" customHeight="1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  <c r="R86" s="62"/>
      <c r="S86" s="62"/>
      <c r="T86" s="62"/>
      <c r="U86" s="62"/>
      <c r="V86" s="62"/>
      <c r="W86" s="62"/>
      <c r="X86" s="62"/>
      <c r="Y86" s="62"/>
      <c r="Z86" s="62"/>
    </row>
    <row r="87" ht="18.75" customHeight="1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S87" s="62"/>
      <c r="T87" s="62"/>
      <c r="U87" s="62"/>
      <c r="V87" s="62"/>
      <c r="W87" s="62"/>
      <c r="X87" s="62"/>
      <c r="Y87" s="62"/>
      <c r="Z87" s="62"/>
    </row>
    <row r="88" ht="18.75" customHeight="1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62"/>
      <c r="M88" s="62"/>
      <c r="N88" s="62"/>
      <c r="O88" s="62"/>
      <c r="P88" s="62"/>
      <c r="Q88" s="62"/>
      <c r="R88" s="62"/>
      <c r="S88" s="62"/>
      <c r="T88" s="62"/>
      <c r="U88" s="62"/>
      <c r="V88" s="62"/>
      <c r="W88" s="62"/>
      <c r="X88" s="62"/>
      <c r="Y88" s="62"/>
      <c r="Z88" s="62"/>
    </row>
    <row r="89" ht="18.75" customHeight="1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62"/>
      <c r="M89" s="62"/>
      <c r="N89" s="62"/>
      <c r="O89" s="62"/>
      <c r="P89" s="62"/>
      <c r="Q89" s="62"/>
      <c r="R89" s="62"/>
      <c r="S89" s="62"/>
      <c r="T89" s="62"/>
      <c r="U89" s="62"/>
      <c r="V89" s="62"/>
      <c r="W89" s="62"/>
      <c r="X89" s="62"/>
      <c r="Y89" s="62"/>
      <c r="Z89" s="62"/>
    </row>
    <row r="90" ht="18.75" customHeight="1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62"/>
      <c r="M90" s="62"/>
      <c r="N90" s="62"/>
      <c r="O90" s="62"/>
      <c r="P90" s="62"/>
      <c r="Q90" s="62"/>
      <c r="R90" s="62"/>
      <c r="S90" s="62"/>
      <c r="T90" s="62"/>
      <c r="U90" s="62"/>
      <c r="V90" s="62"/>
      <c r="W90" s="62"/>
      <c r="X90" s="62"/>
      <c r="Y90" s="62"/>
      <c r="Z90" s="62"/>
    </row>
    <row r="91" ht="18.75" customHeight="1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S91" s="62"/>
      <c r="T91" s="62"/>
      <c r="U91" s="62"/>
      <c r="V91" s="62"/>
      <c r="W91" s="62"/>
      <c r="X91" s="62"/>
      <c r="Y91" s="62"/>
      <c r="Z91" s="62"/>
    </row>
    <row r="92" ht="18.75" customHeight="1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  <c r="R92" s="62"/>
      <c r="S92" s="62"/>
      <c r="T92" s="62"/>
      <c r="U92" s="62"/>
      <c r="V92" s="62"/>
      <c r="W92" s="62"/>
      <c r="X92" s="62"/>
      <c r="Y92" s="62"/>
      <c r="Z92" s="62"/>
    </row>
    <row r="93" ht="18.75" customHeight="1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62"/>
      <c r="M93" s="62"/>
      <c r="N93" s="62"/>
      <c r="O93" s="62"/>
      <c r="P93" s="62"/>
      <c r="Q93" s="62"/>
      <c r="R93" s="62"/>
      <c r="S93" s="62"/>
      <c r="T93" s="62"/>
      <c r="U93" s="62"/>
      <c r="V93" s="62"/>
      <c r="W93" s="62"/>
      <c r="X93" s="62"/>
      <c r="Y93" s="62"/>
      <c r="Z93" s="62"/>
    </row>
    <row r="94" ht="18.75" customHeight="1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62"/>
      <c r="M94" s="62"/>
      <c r="N94" s="62"/>
      <c r="O94" s="62"/>
      <c r="P94" s="62"/>
      <c r="Q94" s="62"/>
      <c r="R94" s="62"/>
      <c r="S94" s="62"/>
      <c r="T94" s="62"/>
      <c r="U94" s="62"/>
      <c r="V94" s="62"/>
      <c r="W94" s="62"/>
      <c r="X94" s="62"/>
      <c r="Y94" s="62"/>
      <c r="Z94" s="62"/>
    </row>
    <row r="95" ht="18.75" customHeight="1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  <c r="R95" s="62"/>
      <c r="S95" s="62"/>
      <c r="T95" s="62"/>
      <c r="U95" s="62"/>
      <c r="V95" s="62"/>
      <c r="W95" s="62"/>
      <c r="X95" s="62"/>
      <c r="Y95" s="62"/>
      <c r="Z95" s="62"/>
    </row>
    <row r="96" ht="18.75" customHeight="1">
      <c r="A96" s="62"/>
      <c r="B96" s="62"/>
      <c r="C96" s="62"/>
      <c r="D96" s="62"/>
      <c r="E96" s="62"/>
      <c r="F96" s="62"/>
      <c r="G96" s="62"/>
      <c r="H96" s="62"/>
      <c r="I96" s="62"/>
      <c r="J96" s="62"/>
      <c r="K96" s="62"/>
      <c r="L96" s="62"/>
      <c r="M96" s="62"/>
      <c r="N96" s="62"/>
      <c r="O96" s="62"/>
      <c r="P96" s="62"/>
      <c r="Q96" s="62"/>
      <c r="R96" s="62"/>
      <c r="S96" s="62"/>
      <c r="T96" s="62"/>
      <c r="U96" s="62"/>
      <c r="V96" s="62"/>
      <c r="W96" s="62"/>
      <c r="X96" s="62"/>
      <c r="Y96" s="62"/>
      <c r="Z96" s="62"/>
    </row>
    <row r="97" ht="18.75" customHeight="1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62"/>
      <c r="M97" s="62"/>
      <c r="N97" s="62"/>
      <c r="O97" s="62"/>
      <c r="P97" s="62"/>
      <c r="Q97" s="62"/>
      <c r="R97" s="62"/>
      <c r="S97" s="62"/>
      <c r="T97" s="62"/>
      <c r="U97" s="62"/>
      <c r="V97" s="62"/>
      <c r="W97" s="62"/>
      <c r="X97" s="62"/>
      <c r="Y97" s="62"/>
      <c r="Z97" s="62"/>
    </row>
    <row r="98" ht="18.75" customHeight="1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62"/>
      <c r="M98" s="62"/>
      <c r="N98" s="62"/>
      <c r="O98" s="62"/>
      <c r="P98" s="62"/>
      <c r="Q98" s="62"/>
      <c r="R98" s="62"/>
      <c r="S98" s="62"/>
      <c r="T98" s="62"/>
      <c r="U98" s="62"/>
      <c r="V98" s="62"/>
      <c r="W98" s="62"/>
      <c r="X98" s="62"/>
      <c r="Y98" s="62"/>
      <c r="Z98" s="62"/>
    </row>
    <row r="99" ht="18.75" customHeight="1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S99" s="62"/>
      <c r="T99" s="62"/>
      <c r="U99" s="62"/>
      <c r="V99" s="62"/>
      <c r="W99" s="62"/>
      <c r="X99" s="62"/>
      <c r="Y99" s="62"/>
      <c r="Z99" s="62"/>
    </row>
    <row r="100" ht="18.75" customHeight="1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62"/>
      <c r="M100" s="62"/>
      <c r="N100" s="62"/>
      <c r="O100" s="62"/>
      <c r="P100" s="62"/>
      <c r="Q100" s="62"/>
      <c r="R100" s="62"/>
      <c r="S100" s="62"/>
      <c r="T100" s="62"/>
      <c r="U100" s="62"/>
      <c r="V100" s="62"/>
      <c r="W100" s="62"/>
      <c r="X100" s="62"/>
      <c r="Y100" s="62"/>
      <c r="Z100" s="62"/>
    </row>
  </sheetData>
  <mergeCells count="39">
    <mergeCell ref="H3:I4"/>
    <mergeCell ref="J3:J4"/>
    <mergeCell ref="H5:H7"/>
    <mergeCell ref="A1:E1"/>
    <mergeCell ref="G1:J1"/>
    <mergeCell ref="A2:B2"/>
    <mergeCell ref="C2:D2"/>
    <mergeCell ref="H2:I2"/>
    <mergeCell ref="A3:B3"/>
    <mergeCell ref="A4:A5"/>
    <mergeCell ref="C3:D3"/>
    <mergeCell ref="A6:A7"/>
    <mergeCell ref="A8:A9"/>
    <mergeCell ref="A10:B10"/>
    <mergeCell ref="A11:B11"/>
    <mergeCell ref="C4:C11"/>
    <mergeCell ref="A13:E13"/>
    <mergeCell ref="D17:E17"/>
    <mergeCell ref="D18:E18"/>
    <mergeCell ref="B16:C16"/>
    <mergeCell ref="B17:B18"/>
    <mergeCell ref="B15:C15"/>
    <mergeCell ref="A14:E14"/>
    <mergeCell ref="A20:E20"/>
    <mergeCell ref="B22:C23"/>
    <mergeCell ref="D28:E28"/>
    <mergeCell ref="D29:E29"/>
    <mergeCell ref="D30:E30"/>
    <mergeCell ref="B27:C27"/>
    <mergeCell ref="A26:E26"/>
    <mergeCell ref="B28:C29"/>
    <mergeCell ref="D15:E15"/>
    <mergeCell ref="D16:E16"/>
    <mergeCell ref="D21:E21"/>
    <mergeCell ref="D22:E22"/>
    <mergeCell ref="D23:E23"/>
    <mergeCell ref="D24:E24"/>
    <mergeCell ref="D27:E27"/>
    <mergeCell ref="B21:C2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1" t="s">
        <v>4052</v>
      </c>
      <c r="F1" s="62"/>
      <c r="G1" s="61" t="s">
        <v>4053</v>
      </c>
      <c r="M1" s="78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</row>
    <row r="2" ht="18.75" customHeight="1">
      <c r="A2" s="61" t="s">
        <v>4000</v>
      </c>
      <c r="B2" s="61" t="s">
        <v>3521</v>
      </c>
      <c r="F2" s="62"/>
      <c r="G2" s="61" t="s">
        <v>4054</v>
      </c>
      <c r="H2" s="61" t="s">
        <v>3956</v>
      </c>
      <c r="M2" s="78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</row>
    <row r="3" ht="18.75" customHeight="1">
      <c r="B3" s="61" t="s">
        <v>4055</v>
      </c>
      <c r="D3" s="61" t="s">
        <v>4056</v>
      </c>
      <c r="F3" s="78"/>
      <c r="H3" s="83" t="s">
        <v>4057</v>
      </c>
      <c r="J3" s="83" t="s">
        <v>4058</v>
      </c>
      <c r="N3" s="62"/>
      <c r="O3" s="62"/>
      <c r="P3" s="62"/>
      <c r="Q3" s="62"/>
      <c r="R3" s="62"/>
      <c r="S3" s="62"/>
      <c r="T3" s="62"/>
      <c r="U3" s="62"/>
      <c r="V3" s="62"/>
      <c r="W3" s="62"/>
      <c r="X3" s="62"/>
      <c r="Y3" s="62"/>
      <c r="Z3" s="62"/>
    </row>
    <row r="4" ht="18.75" customHeight="1">
      <c r="A4" s="61" t="s">
        <v>4059</v>
      </c>
      <c r="B4" s="62" t="s">
        <v>4060</v>
      </c>
      <c r="D4" s="62" t="s">
        <v>4061</v>
      </c>
      <c r="F4" s="78"/>
      <c r="G4" s="61" t="s">
        <v>4062</v>
      </c>
      <c r="H4" s="62" t="s">
        <v>4063</v>
      </c>
      <c r="J4" s="84" t="s">
        <v>4064</v>
      </c>
      <c r="N4" s="62"/>
      <c r="O4" s="62"/>
      <c r="P4" s="62"/>
      <c r="Q4" s="62"/>
      <c r="R4" s="62"/>
      <c r="S4" s="62"/>
      <c r="T4" s="62"/>
      <c r="U4" s="62"/>
      <c r="V4" s="62"/>
      <c r="W4" s="62"/>
      <c r="X4" s="62"/>
      <c r="Y4" s="62"/>
      <c r="Z4" s="62"/>
    </row>
    <row r="5" ht="18.75" customHeight="1">
      <c r="A5" s="61" t="s">
        <v>4065</v>
      </c>
      <c r="B5" s="62" t="s">
        <v>4066</v>
      </c>
      <c r="D5" s="62" t="s">
        <v>4067</v>
      </c>
      <c r="F5" s="78"/>
      <c r="G5" s="61" t="s">
        <v>4068</v>
      </c>
      <c r="H5" s="62" t="s">
        <v>4069</v>
      </c>
      <c r="J5" s="85" t="s">
        <v>4070</v>
      </c>
      <c r="N5" s="62"/>
      <c r="O5" s="62"/>
      <c r="P5" s="62"/>
      <c r="Q5" s="62"/>
      <c r="R5" s="62"/>
      <c r="S5" s="62"/>
      <c r="T5" s="62"/>
      <c r="U5" s="62"/>
      <c r="V5" s="62"/>
      <c r="W5" s="62"/>
      <c r="X5" s="62"/>
      <c r="Y5" s="62"/>
      <c r="Z5" s="62"/>
    </row>
    <row r="6" ht="18.75" customHeight="1">
      <c r="A6" s="61" t="s">
        <v>4071</v>
      </c>
      <c r="B6" s="62" t="s">
        <v>4072</v>
      </c>
      <c r="D6" s="62" t="s">
        <v>4073</v>
      </c>
      <c r="F6" s="78"/>
      <c r="G6" s="61" t="s">
        <v>4074</v>
      </c>
      <c r="H6" s="62" t="s">
        <v>4075</v>
      </c>
      <c r="J6" s="62" t="s">
        <v>4076</v>
      </c>
      <c r="N6" s="62"/>
      <c r="O6" s="62"/>
      <c r="P6" s="62"/>
      <c r="Q6" s="62"/>
      <c r="R6" s="62"/>
      <c r="S6" s="62"/>
      <c r="T6" s="62"/>
      <c r="U6" s="62"/>
      <c r="V6" s="62"/>
      <c r="W6" s="62"/>
      <c r="X6" s="62"/>
      <c r="Y6" s="62"/>
      <c r="Z6" s="62"/>
    </row>
    <row r="7" ht="18.75" customHeight="1">
      <c r="A7" s="61" t="s">
        <v>4077</v>
      </c>
      <c r="B7" s="62" t="s">
        <v>4078</v>
      </c>
      <c r="D7" s="62" t="s">
        <v>4079</v>
      </c>
      <c r="F7" s="78"/>
      <c r="G7" s="78"/>
      <c r="H7" s="78"/>
      <c r="I7" s="78"/>
      <c r="J7" s="78"/>
      <c r="L7" s="62"/>
      <c r="M7" s="62"/>
      <c r="N7" s="62"/>
      <c r="O7" s="62"/>
      <c r="P7" s="62"/>
      <c r="Q7" s="62"/>
      <c r="R7" s="62"/>
      <c r="S7" s="62"/>
      <c r="T7" s="62"/>
      <c r="U7" s="62"/>
      <c r="V7" s="62"/>
      <c r="W7" s="62"/>
      <c r="X7" s="62"/>
      <c r="Y7" s="62"/>
      <c r="Z7" s="62"/>
    </row>
    <row r="8" ht="18.75" customHeight="1">
      <c r="A8" s="61" t="s">
        <v>4080</v>
      </c>
      <c r="B8" s="62" t="s">
        <v>4081</v>
      </c>
      <c r="D8" s="62" t="s">
        <v>4082</v>
      </c>
      <c r="F8" s="78"/>
      <c r="G8" s="61" t="s">
        <v>4083</v>
      </c>
      <c r="L8" s="62"/>
      <c r="M8" s="62"/>
      <c r="N8" s="62"/>
      <c r="O8" s="62"/>
      <c r="P8" s="62"/>
      <c r="Q8" s="62"/>
      <c r="R8" s="62"/>
      <c r="S8" s="62"/>
      <c r="T8" s="62"/>
      <c r="U8" s="62"/>
      <c r="V8" s="62"/>
      <c r="W8" s="62"/>
      <c r="X8" s="62"/>
      <c r="Y8" s="62"/>
      <c r="Z8" s="62"/>
    </row>
    <row r="9" ht="18.75" customHeight="1">
      <c r="A9" s="61" t="s">
        <v>4084</v>
      </c>
      <c r="B9" s="62" t="s">
        <v>4085</v>
      </c>
      <c r="D9" s="62" t="s">
        <v>4086</v>
      </c>
      <c r="F9" s="78"/>
      <c r="G9" s="79"/>
      <c r="H9" s="61" t="s">
        <v>4087</v>
      </c>
      <c r="I9" s="61" t="s">
        <v>3956</v>
      </c>
      <c r="L9" s="62"/>
      <c r="M9" s="62"/>
      <c r="N9" s="62"/>
      <c r="O9" s="62"/>
      <c r="P9" s="62"/>
      <c r="Q9" s="62"/>
      <c r="R9" s="62"/>
      <c r="S9" s="62"/>
      <c r="T9" s="62"/>
      <c r="U9" s="62"/>
      <c r="V9" s="62"/>
      <c r="W9" s="62"/>
      <c r="X9" s="62"/>
      <c r="Y9" s="62"/>
      <c r="Z9" s="62"/>
    </row>
    <row r="10" ht="18.75" customHeight="1">
      <c r="A10" s="61" t="s">
        <v>4088</v>
      </c>
      <c r="B10" s="62" t="s">
        <v>4089</v>
      </c>
      <c r="D10" s="62" t="s">
        <v>4090</v>
      </c>
      <c r="F10" s="78"/>
      <c r="G10" s="61" t="s">
        <v>2093</v>
      </c>
      <c r="H10" s="70" t="s">
        <v>4091</v>
      </c>
      <c r="I10" s="62" t="s">
        <v>4092</v>
      </c>
      <c r="L10" s="62"/>
      <c r="M10" s="62"/>
      <c r="N10" s="62"/>
      <c r="O10" s="62"/>
      <c r="P10" s="62"/>
      <c r="Q10" s="62"/>
      <c r="R10" s="62"/>
      <c r="S10" s="62"/>
      <c r="T10" s="62"/>
      <c r="U10" s="62"/>
      <c r="V10" s="62"/>
      <c r="W10" s="62"/>
      <c r="X10" s="62"/>
      <c r="Y10" s="62"/>
      <c r="Z10" s="62"/>
    </row>
    <row r="11" ht="18.75" customHeight="1">
      <c r="A11" s="61" t="s">
        <v>4093</v>
      </c>
      <c r="B11" s="62" t="s">
        <v>4094</v>
      </c>
      <c r="D11" s="62" t="s">
        <v>4095</v>
      </c>
      <c r="F11" s="78"/>
      <c r="G11" s="61" t="s">
        <v>4096</v>
      </c>
      <c r="I11" s="62" t="s">
        <v>4097</v>
      </c>
      <c r="L11" s="62"/>
      <c r="M11" s="62"/>
      <c r="N11" s="62"/>
      <c r="O11" s="62"/>
      <c r="P11" s="62"/>
      <c r="Q11" s="62"/>
      <c r="R11" s="62"/>
      <c r="S11" s="62"/>
      <c r="T11" s="62"/>
      <c r="U11" s="62"/>
      <c r="V11" s="62"/>
      <c r="W11" s="62"/>
      <c r="X11" s="62"/>
      <c r="Y11" s="62"/>
      <c r="Z11" s="62"/>
    </row>
    <row r="12" ht="18.75" customHeight="1">
      <c r="A12" s="61" t="s">
        <v>4098</v>
      </c>
      <c r="B12" s="62" t="s">
        <v>4099</v>
      </c>
      <c r="D12" s="62" t="s">
        <v>4100</v>
      </c>
      <c r="F12" s="78"/>
      <c r="G12" s="61" t="s">
        <v>4101</v>
      </c>
      <c r="I12" s="62" t="s">
        <v>4102</v>
      </c>
      <c r="L12" s="62"/>
      <c r="M12" s="62"/>
      <c r="N12" s="62"/>
      <c r="O12" s="62"/>
      <c r="P12" s="62"/>
      <c r="Q12" s="62"/>
      <c r="R12" s="62"/>
      <c r="S12" s="62"/>
      <c r="T12" s="62"/>
      <c r="U12" s="62"/>
      <c r="V12" s="62"/>
      <c r="W12" s="62"/>
      <c r="X12" s="62"/>
      <c r="Y12" s="62"/>
      <c r="Z12" s="62"/>
    </row>
    <row r="13" ht="18.75" customHeight="1">
      <c r="F13" s="78"/>
      <c r="G13" s="78"/>
      <c r="H13" s="78"/>
      <c r="I13" s="78"/>
      <c r="J13" s="78"/>
      <c r="K13" s="62"/>
      <c r="L13" s="62"/>
      <c r="M13" s="62"/>
      <c r="N13" s="62"/>
      <c r="O13" s="62"/>
      <c r="P13" s="62"/>
      <c r="Q13" s="62"/>
      <c r="R13" s="62"/>
      <c r="S13" s="62"/>
      <c r="T13" s="62"/>
      <c r="U13" s="62"/>
      <c r="V13" s="62"/>
      <c r="W13" s="62"/>
      <c r="X13" s="62"/>
      <c r="Y13" s="62"/>
      <c r="Z13" s="62"/>
    </row>
    <row r="14" ht="18.75" customHeight="1">
      <c r="A14" s="61" t="s">
        <v>4103</v>
      </c>
      <c r="D14" s="78"/>
      <c r="E14" s="78"/>
      <c r="F14" s="78"/>
      <c r="G14" s="78"/>
      <c r="H14" s="78"/>
      <c r="I14" s="78"/>
      <c r="J14" s="78"/>
      <c r="K14" s="62"/>
      <c r="L14" s="62"/>
      <c r="M14" s="62"/>
      <c r="N14" s="62"/>
      <c r="O14" s="62"/>
      <c r="P14" s="62"/>
      <c r="Q14" s="62"/>
      <c r="R14" s="62"/>
      <c r="S14" s="62"/>
      <c r="T14" s="62"/>
      <c r="U14" s="62"/>
      <c r="V14" s="62"/>
      <c r="W14" s="62"/>
      <c r="X14" s="62"/>
      <c r="Y14" s="62"/>
      <c r="Z14" s="62"/>
    </row>
    <row r="15" ht="18.75" customHeight="1">
      <c r="A15" s="61" t="s">
        <v>4015</v>
      </c>
      <c r="B15" s="61" t="s">
        <v>3956</v>
      </c>
      <c r="D15" s="78"/>
      <c r="F15" s="78"/>
      <c r="G15" s="78"/>
      <c r="H15" s="78"/>
      <c r="I15" s="78"/>
      <c r="J15" s="78"/>
      <c r="K15" s="62"/>
      <c r="L15" s="62"/>
      <c r="M15" s="62"/>
      <c r="N15" s="62"/>
      <c r="O15" s="62"/>
      <c r="P15" s="62"/>
      <c r="Q15" s="62"/>
      <c r="R15" s="62"/>
      <c r="S15" s="62"/>
      <c r="T15" s="62"/>
      <c r="U15" s="62"/>
      <c r="V15" s="62"/>
      <c r="W15" s="62"/>
      <c r="X15" s="62"/>
      <c r="Y15" s="62"/>
      <c r="Z15" s="62"/>
    </row>
    <row r="16" ht="18.75" customHeight="1">
      <c r="A16" s="61" t="s">
        <v>3802</v>
      </c>
      <c r="B16" s="62" t="s">
        <v>4104</v>
      </c>
      <c r="D16" s="62"/>
      <c r="F16" s="62"/>
      <c r="G16" s="62"/>
      <c r="H16" s="62"/>
      <c r="I16" s="62"/>
      <c r="J16" s="78"/>
      <c r="K16" s="62"/>
      <c r="L16" s="62"/>
      <c r="M16" s="62"/>
      <c r="N16" s="62"/>
      <c r="O16" s="62"/>
      <c r="P16" s="62"/>
      <c r="Q16" s="62"/>
      <c r="R16" s="62"/>
      <c r="S16" s="62"/>
      <c r="T16" s="62"/>
      <c r="U16" s="62"/>
      <c r="V16" s="62"/>
      <c r="W16" s="62"/>
      <c r="X16" s="62"/>
      <c r="Y16" s="62"/>
      <c r="Z16" s="62"/>
    </row>
    <row r="17" ht="18.75" customHeight="1">
      <c r="B17" s="62" t="s">
        <v>4105</v>
      </c>
      <c r="D17" s="62"/>
      <c r="F17" s="78"/>
      <c r="G17" s="78"/>
      <c r="H17" s="78"/>
      <c r="I17" s="78"/>
      <c r="J17" s="78"/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  <c r="Y17" s="62"/>
      <c r="Z17" s="62"/>
    </row>
    <row r="18" ht="18.75" customHeight="1">
      <c r="A18" s="61" t="s">
        <v>3806</v>
      </c>
      <c r="B18" s="62" t="s">
        <v>4106</v>
      </c>
      <c r="D18" s="62"/>
      <c r="F18" s="78"/>
      <c r="G18" s="78"/>
      <c r="H18" s="78"/>
      <c r="I18" s="78"/>
      <c r="J18" s="78"/>
      <c r="K18" s="62"/>
      <c r="L18" s="62"/>
      <c r="M18" s="62"/>
      <c r="N18" s="62"/>
      <c r="O18" s="62"/>
      <c r="P18" s="62"/>
      <c r="Q18" s="62"/>
      <c r="R18" s="62"/>
      <c r="S18" s="62"/>
      <c r="T18" s="62"/>
      <c r="U18" s="62"/>
      <c r="V18" s="62"/>
      <c r="W18" s="62"/>
      <c r="X18" s="62"/>
      <c r="Y18" s="62"/>
      <c r="Z18" s="62"/>
    </row>
    <row r="19" ht="18.75" customHeight="1">
      <c r="B19" s="62" t="s">
        <v>4107</v>
      </c>
      <c r="D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S19" s="62"/>
      <c r="T19" s="62"/>
      <c r="U19" s="62"/>
      <c r="V19" s="62"/>
      <c r="W19" s="62"/>
      <c r="X19" s="62"/>
      <c r="Y19" s="62"/>
      <c r="Z19" s="62"/>
    </row>
    <row r="20" ht="18.75" customHeight="1">
      <c r="A20" s="61" t="s">
        <v>3811</v>
      </c>
      <c r="B20" s="62" t="s">
        <v>4108</v>
      </c>
      <c r="D20" s="62"/>
      <c r="F20" s="62"/>
      <c r="G20" s="62"/>
      <c r="H20" s="62"/>
      <c r="I20" s="62"/>
      <c r="J20" s="62"/>
      <c r="K20" s="62"/>
      <c r="L20" s="62"/>
      <c r="M20" s="62"/>
      <c r="N20" s="62"/>
      <c r="O20" s="62"/>
      <c r="P20" s="62"/>
      <c r="Q20" s="62"/>
      <c r="R20" s="62"/>
      <c r="S20" s="62"/>
      <c r="T20" s="62"/>
      <c r="U20" s="62"/>
      <c r="V20" s="62"/>
      <c r="W20" s="62"/>
      <c r="X20" s="62"/>
      <c r="Y20" s="62"/>
      <c r="Z20" s="62"/>
    </row>
    <row r="21" ht="18.75" customHeight="1">
      <c r="B21" s="62" t="s">
        <v>4109</v>
      </c>
      <c r="D21" s="62"/>
      <c r="F21" s="62"/>
      <c r="G21" s="62"/>
      <c r="H21" s="62"/>
      <c r="I21" s="62"/>
      <c r="J21" s="62"/>
      <c r="K21" s="62"/>
      <c r="L21" s="62"/>
      <c r="M21" s="62"/>
      <c r="N21" s="62"/>
      <c r="O21" s="62"/>
      <c r="P21" s="62"/>
      <c r="Q21" s="62"/>
      <c r="R21" s="62"/>
      <c r="S21" s="62"/>
      <c r="T21" s="62"/>
      <c r="U21" s="62"/>
      <c r="V21" s="62"/>
      <c r="W21" s="62"/>
      <c r="X21" s="62"/>
      <c r="Y21" s="62"/>
      <c r="Z21" s="62"/>
    </row>
    <row r="22" ht="18.75" customHeight="1">
      <c r="A22" s="61" t="s">
        <v>3816</v>
      </c>
      <c r="B22" s="62" t="s">
        <v>4110</v>
      </c>
      <c r="D22" s="62"/>
      <c r="F22" s="62"/>
      <c r="G22" s="62"/>
      <c r="H22" s="62"/>
      <c r="I22" s="62"/>
      <c r="J22" s="62"/>
      <c r="K22" s="62"/>
      <c r="L22" s="62"/>
      <c r="M22" s="62"/>
      <c r="N22" s="62"/>
      <c r="O22" s="62"/>
      <c r="P22" s="62"/>
      <c r="Q22" s="62"/>
      <c r="R22" s="62"/>
      <c r="S22" s="62"/>
      <c r="T22" s="62"/>
      <c r="U22" s="62"/>
      <c r="V22" s="62"/>
      <c r="W22" s="62"/>
      <c r="X22" s="62"/>
      <c r="Y22" s="62"/>
      <c r="Z22" s="62"/>
    </row>
    <row r="23" ht="18.75" customHeight="1"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S23" s="62"/>
      <c r="T23" s="62"/>
      <c r="U23" s="62"/>
      <c r="V23" s="62"/>
      <c r="W23" s="62"/>
      <c r="X23" s="62"/>
      <c r="Y23" s="62"/>
      <c r="Z23" s="62"/>
    </row>
    <row r="24" ht="18.75" customHeight="1">
      <c r="A24" s="61" t="s">
        <v>4111</v>
      </c>
      <c r="M24" s="62"/>
      <c r="N24" s="62"/>
      <c r="O24" s="62"/>
      <c r="P24" s="62"/>
      <c r="Q24" s="62"/>
      <c r="R24" s="62"/>
      <c r="S24" s="62"/>
      <c r="T24" s="62"/>
      <c r="U24" s="62"/>
      <c r="V24" s="62"/>
      <c r="W24" s="62"/>
      <c r="X24" s="62"/>
      <c r="Y24" s="62"/>
      <c r="Z24" s="62"/>
    </row>
    <row r="25" ht="18.75" customHeight="1">
      <c r="A25" s="61" t="s">
        <v>4112</v>
      </c>
      <c r="F25" s="61" t="s">
        <v>4113</v>
      </c>
      <c r="M25" s="62"/>
      <c r="N25" s="62"/>
      <c r="O25" s="62"/>
      <c r="P25" s="62"/>
      <c r="Q25" s="62"/>
      <c r="R25" s="62"/>
      <c r="S25" s="62"/>
      <c r="T25" s="62"/>
      <c r="U25" s="62"/>
      <c r="V25" s="62"/>
      <c r="W25" s="62"/>
      <c r="X25" s="62"/>
      <c r="Y25" s="62"/>
      <c r="Z25" s="62"/>
    </row>
    <row r="26" ht="18.75" customHeight="1">
      <c r="A26" s="17" t="s">
        <v>4114</v>
      </c>
      <c r="F26" s="17" t="s">
        <v>4115</v>
      </c>
      <c r="M26" s="62"/>
      <c r="N26" s="62"/>
      <c r="O26" s="62"/>
      <c r="P26" s="62"/>
      <c r="Q26" s="62"/>
      <c r="R26" s="62"/>
      <c r="S26" s="62"/>
      <c r="T26" s="62"/>
      <c r="U26" s="62"/>
      <c r="V26" s="62"/>
      <c r="W26" s="62"/>
      <c r="X26" s="62"/>
      <c r="Y26" s="62"/>
      <c r="Z26" s="62"/>
    </row>
    <row r="27" ht="18.75" customHeight="1">
      <c r="A27" s="17" t="s">
        <v>4116</v>
      </c>
      <c r="F27" s="17" t="s">
        <v>4117</v>
      </c>
      <c r="M27" s="62"/>
      <c r="N27" s="62"/>
      <c r="O27" s="62"/>
      <c r="P27" s="62"/>
      <c r="Q27" s="62"/>
      <c r="R27" s="62"/>
      <c r="S27" s="62"/>
      <c r="T27" s="62"/>
      <c r="U27" s="62"/>
      <c r="V27" s="62"/>
      <c r="W27" s="62"/>
      <c r="X27" s="62"/>
      <c r="Y27" s="62"/>
      <c r="Z27" s="62"/>
    </row>
    <row r="28" ht="18.75" customHeight="1">
      <c r="A28" s="17" t="s">
        <v>4118</v>
      </c>
      <c r="F28" s="17" t="s">
        <v>4119</v>
      </c>
      <c r="M28" s="62"/>
      <c r="N28" s="62"/>
      <c r="O28" s="62"/>
      <c r="P28" s="62"/>
      <c r="Q28" s="62"/>
      <c r="R28" s="62"/>
      <c r="S28" s="62"/>
      <c r="T28" s="62"/>
      <c r="U28" s="62"/>
      <c r="V28" s="62"/>
      <c r="W28" s="62"/>
      <c r="X28" s="62"/>
      <c r="Y28" s="62"/>
      <c r="Z28" s="62"/>
    </row>
    <row r="29" ht="18.75" customHeight="1">
      <c r="A29" s="17" t="s">
        <v>4120</v>
      </c>
      <c r="F29" s="17" t="s">
        <v>4121</v>
      </c>
      <c r="M29" s="62"/>
      <c r="N29" s="62"/>
      <c r="O29" s="62"/>
      <c r="P29" s="62"/>
      <c r="Q29" s="62"/>
      <c r="R29" s="62"/>
      <c r="S29" s="62"/>
      <c r="T29" s="62"/>
      <c r="U29" s="62"/>
      <c r="V29" s="62"/>
      <c r="W29" s="62"/>
      <c r="X29" s="62"/>
      <c r="Y29" s="62"/>
      <c r="Z29" s="62"/>
    </row>
    <row r="30" ht="18.75" customHeight="1">
      <c r="A30" s="12" t="s">
        <v>4122</v>
      </c>
      <c r="F30" s="12" t="s">
        <v>4123</v>
      </c>
      <c r="M30" s="62"/>
      <c r="N30" s="62"/>
      <c r="O30" s="62"/>
      <c r="P30" s="62"/>
      <c r="Q30" s="62"/>
      <c r="R30" s="62"/>
      <c r="S30" s="62"/>
      <c r="T30" s="62"/>
      <c r="U30" s="62"/>
      <c r="V30" s="62"/>
      <c r="W30" s="62"/>
      <c r="X30" s="62"/>
      <c r="Y30" s="62"/>
      <c r="Z30" s="62"/>
    </row>
    <row r="31" ht="18.75" customHeight="1">
      <c r="A31" s="12" t="s">
        <v>4124</v>
      </c>
      <c r="F31" s="12" t="s">
        <v>4125</v>
      </c>
      <c r="M31" s="62"/>
      <c r="N31" s="62"/>
      <c r="O31" s="62"/>
      <c r="P31" s="62"/>
      <c r="Q31" s="62"/>
      <c r="R31" s="62"/>
      <c r="S31" s="62"/>
      <c r="T31" s="62"/>
      <c r="U31" s="62"/>
      <c r="V31" s="62"/>
      <c r="W31" s="62"/>
      <c r="X31" s="62"/>
      <c r="Y31" s="62"/>
      <c r="Z31" s="62"/>
    </row>
    <row r="32" ht="18.75" customHeight="1">
      <c r="A32" s="12" t="s">
        <v>4126</v>
      </c>
      <c r="F32" s="12" t="s">
        <v>4127</v>
      </c>
      <c r="M32" s="62"/>
      <c r="N32" s="62"/>
      <c r="O32" s="62"/>
      <c r="P32" s="62"/>
      <c r="Q32" s="62"/>
      <c r="R32" s="62"/>
      <c r="S32" s="62"/>
      <c r="T32" s="62"/>
      <c r="U32" s="62"/>
      <c r="V32" s="62"/>
      <c r="W32" s="62"/>
      <c r="X32" s="62"/>
      <c r="Y32" s="62"/>
      <c r="Z32" s="62"/>
    </row>
    <row r="33" ht="18.75" customHeight="1">
      <c r="A33" s="12" t="s">
        <v>4128</v>
      </c>
      <c r="F33" s="12" t="s">
        <v>4129</v>
      </c>
      <c r="M33" s="62"/>
      <c r="N33" s="62"/>
      <c r="O33" s="62"/>
      <c r="P33" s="62"/>
      <c r="Q33" s="62"/>
      <c r="R33" s="62"/>
      <c r="S33" s="62"/>
      <c r="T33" s="62"/>
      <c r="U33" s="62"/>
      <c r="V33" s="62"/>
      <c r="W33" s="62"/>
      <c r="X33" s="62"/>
      <c r="Y33" s="62"/>
      <c r="Z33" s="62"/>
    </row>
    <row r="34" ht="18.75" customHeight="1">
      <c r="A34" s="17" t="s">
        <v>4130</v>
      </c>
      <c r="F34" s="17" t="s">
        <v>4131</v>
      </c>
      <c r="M34" s="62"/>
      <c r="N34" s="62"/>
      <c r="O34" s="62"/>
      <c r="P34" s="62"/>
      <c r="Q34" s="62"/>
      <c r="R34" s="62"/>
      <c r="S34" s="62"/>
      <c r="T34" s="62"/>
      <c r="U34" s="62"/>
      <c r="V34" s="62"/>
      <c r="W34" s="62"/>
      <c r="X34" s="62"/>
      <c r="Y34" s="62"/>
      <c r="Z34" s="62"/>
    </row>
    <row r="35" ht="18.75" customHeight="1">
      <c r="A35" s="17" t="s">
        <v>4132</v>
      </c>
      <c r="F35" s="17" t="s">
        <v>4133</v>
      </c>
      <c r="M35" s="62"/>
      <c r="N35" s="62"/>
      <c r="O35" s="62"/>
      <c r="P35" s="62"/>
      <c r="Q35" s="62"/>
      <c r="R35" s="62"/>
      <c r="S35" s="62"/>
      <c r="T35" s="62"/>
      <c r="U35" s="62"/>
      <c r="V35" s="62"/>
      <c r="W35" s="62"/>
      <c r="X35" s="62"/>
      <c r="Y35" s="62"/>
      <c r="Z35" s="62"/>
    </row>
    <row r="36" ht="18.75" customHeight="1">
      <c r="A36" s="17" t="s">
        <v>4134</v>
      </c>
      <c r="F36" s="17" t="s">
        <v>4135</v>
      </c>
      <c r="M36" s="62"/>
      <c r="N36" s="62"/>
      <c r="O36" s="62"/>
      <c r="P36" s="62"/>
      <c r="Q36" s="62"/>
      <c r="R36" s="62"/>
      <c r="S36" s="62"/>
      <c r="T36" s="62"/>
      <c r="U36" s="62"/>
      <c r="V36" s="62"/>
      <c r="W36" s="62"/>
      <c r="X36" s="62"/>
      <c r="Y36" s="62"/>
      <c r="Z36" s="62"/>
    </row>
    <row r="37" ht="18.75" customHeight="1">
      <c r="A37" s="17" t="s">
        <v>4136</v>
      </c>
      <c r="F37" s="17" t="s">
        <v>4137</v>
      </c>
      <c r="M37" s="62"/>
      <c r="N37" s="62"/>
      <c r="O37" s="62"/>
      <c r="P37" s="62"/>
      <c r="Q37" s="62"/>
      <c r="R37" s="62"/>
      <c r="S37" s="62"/>
      <c r="T37" s="62"/>
      <c r="U37" s="62"/>
      <c r="V37" s="62"/>
      <c r="W37" s="62"/>
      <c r="X37" s="62"/>
      <c r="Y37" s="62"/>
      <c r="Z37" s="62"/>
    </row>
    <row r="38" ht="18.75" customHeight="1">
      <c r="A38" s="17" t="s">
        <v>4138</v>
      </c>
      <c r="F38" s="17" t="s">
        <v>4139</v>
      </c>
      <c r="M38" s="62"/>
      <c r="N38" s="62"/>
      <c r="O38" s="62"/>
      <c r="P38" s="62"/>
      <c r="Q38" s="62"/>
      <c r="R38" s="62"/>
      <c r="S38" s="62"/>
      <c r="T38" s="62"/>
      <c r="U38" s="62"/>
      <c r="V38" s="62"/>
      <c r="W38" s="62"/>
      <c r="X38" s="62"/>
      <c r="Y38" s="62"/>
      <c r="Z38" s="62"/>
    </row>
    <row r="39" ht="18.75" customHeight="1">
      <c r="A39" s="17" t="s">
        <v>4140</v>
      </c>
      <c r="F39" s="17" t="s">
        <v>4141</v>
      </c>
      <c r="M39" s="62"/>
      <c r="N39" s="62"/>
      <c r="O39" s="62"/>
      <c r="P39" s="62"/>
      <c r="Q39" s="62"/>
      <c r="R39" s="62"/>
      <c r="S39" s="62"/>
      <c r="T39" s="62"/>
      <c r="U39" s="62"/>
      <c r="V39" s="62"/>
      <c r="W39" s="62"/>
      <c r="X39" s="62"/>
      <c r="Y39" s="62"/>
      <c r="Z39" s="62"/>
    </row>
    <row r="40" ht="18.75" customHeight="1">
      <c r="A40" s="12" t="s">
        <v>4142</v>
      </c>
      <c r="F40" s="12" t="s">
        <v>4143</v>
      </c>
      <c r="M40" s="62"/>
      <c r="N40" s="62"/>
      <c r="O40" s="62"/>
      <c r="P40" s="62"/>
      <c r="Q40" s="62"/>
      <c r="R40" s="62"/>
      <c r="S40" s="62"/>
      <c r="T40" s="62"/>
      <c r="U40" s="62"/>
      <c r="V40" s="62"/>
      <c r="W40" s="62"/>
      <c r="X40" s="62"/>
      <c r="Y40" s="62"/>
      <c r="Z40" s="62"/>
    </row>
    <row r="41" ht="18.75" customHeight="1">
      <c r="A41" s="12" t="s">
        <v>4144</v>
      </c>
      <c r="F41" s="12" t="s">
        <v>4145</v>
      </c>
      <c r="M41" s="62"/>
      <c r="N41" s="62"/>
      <c r="O41" s="62"/>
      <c r="P41" s="62"/>
      <c r="Q41" s="62"/>
      <c r="R41" s="62"/>
      <c r="S41" s="62"/>
      <c r="T41" s="62"/>
      <c r="U41" s="62"/>
      <c r="V41" s="62"/>
      <c r="W41" s="62"/>
      <c r="X41" s="62"/>
      <c r="Y41" s="62"/>
      <c r="Z41" s="62"/>
    </row>
    <row r="42" ht="18.75" customHeight="1">
      <c r="A42" s="17" t="s">
        <v>4146</v>
      </c>
      <c r="F42" s="17" t="s">
        <v>4147</v>
      </c>
      <c r="M42" s="62"/>
      <c r="N42" s="62"/>
      <c r="O42" s="62"/>
      <c r="P42" s="62"/>
      <c r="Q42" s="62"/>
      <c r="R42" s="62"/>
      <c r="S42" s="62"/>
      <c r="T42" s="62"/>
      <c r="U42" s="62"/>
      <c r="V42" s="62"/>
      <c r="W42" s="62"/>
      <c r="X42" s="62"/>
      <c r="Y42" s="62"/>
      <c r="Z42" s="62"/>
    </row>
    <row r="43" ht="18.75" customHeight="1">
      <c r="A43" s="12" t="s">
        <v>4148</v>
      </c>
      <c r="F43" s="12" t="s">
        <v>4149</v>
      </c>
      <c r="M43" s="62"/>
      <c r="N43" s="62"/>
      <c r="O43" s="62"/>
      <c r="P43" s="62"/>
      <c r="Q43" s="62"/>
      <c r="R43" s="62"/>
      <c r="S43" s="62"/>
      <c r="T43" s="62"/>
      <c r="U43" s="62"/>
      <c r="V43" s="62"/>
      <c r="W43" s="62"/>
      <c r="X43" s="62"/>
      <c r="Y43" s="62"/>
      <c r="Z43" s="62"/>
    </row>
    <row r="44" ht="18.75" customHeight="1">
      <c r="A44" s="17" t="s">
        <v>4150</v>
      </c>
      <c r="F44" s="17" t="s">
        <v>4151</v>
      </c>
      <c r="M44" s="62"/>
      <c r="N44" s="62"/>
      <c r="O44" s="62"/>
      <c r="P44" s="62"/>
      <c r="Q44" s="62"/>
      <c r="R44" s="62"/>
      <c r="S44" s="62"/>
      <c r="T44" s="62"/>
      <c r="U44" s="62"/>
      <c r="V44" s="62"/>
      <c r="W44" s="62"/>
      <c r="X44" s="62"/>
      <c r="Y44" s="62"/>
      <c r="Z44" s="62"/>
    </row>
    <row r="45" ht="18.75" customHeight="1">
      <c r="A45" s="17" t="s">
        <v>4152</v>
      </c>
      <c r="F45" s="17" t="s">
        <v>4153</v>
      </c>
      <c r="M45" s="62"/>
      <c r="N45" s="62"/>
      <c r="O45" s="62"/>
      <c r="P45" s="62"/>
      <c r="Q45" s="62"/>
      <c r="R45" s="62"/>
      <c r="S45" s="62"/>
      <c r="T45" s="62"/>
      <c r="U45" s="62"/>
      <c r="V45" s="62"/>
      <c r="W45" s="62"/>
      <c r="X45" s="62"/>
      <c r="Y45" s="62"/>
      <c r="Z45" s="62"/>
    </row>
    <row r="46" ht="18.75" customHeight="1">
      <c r="A46" s="12" t="s">
        <v>4154</v>
      </c>
      <c r="F46" s="12" t="s">
        <v>4155</v>
      </c>
      <c r="M46" s="62"/>
      <c r="N46" s="62"/>
      <c r="O46" s="62"/>
      <c r="P46" s="62"/>
      <c r="Q46" s="62"/>
      <c r="R46" s="62"/>
      <c r="S46" s="62"/>
      <c r="T46" s="62"/>
      <c r="U46" s="62"/>
      <c r="V46" s="62"/>
      <c r="W46" s="62"/>
      <c r="X46" s="62"/>
      <c r="Y46" s="62"/>
      <c r="Z46" s="62"/>
    </row>
    <row r="47" ht="18.75" customHeight="1">
      <c r="A47" s="12" t="s">
        <v>4156</v>
      </c>
      <c r="F47" s="12" t="s">
        <v>4157</v>
      </c>
      <c r="M47" s="62"/>
      <c r="N47" s="62"/>
      <c r="O47" s="62"/>
      <c r="P47" s="62"/>
      <c r="Q47" s="62"/>
      <c r="R47" s="62"/>
      <c r="S47" s="62"/>
      <c r="T47" s="62"/>
      <c r="U47" s="62"/>
      <c r="V47" s="62"/>
      <c r="W47" s="62"/>
      <c r="X47" s="62"/>
      <c r="Y47" s="62"/>
      <c r="Z47" s="62"/>
    </row>
    <row r="48" ht="18.75" customHeight="1">
      <c r="A48" s="12" t="s">
        <v>4158</v>
      </c>
      <c r="F48" s="12" t="s">
        <v>4159</v>
      </c>
      <c r="M48" s="62"/>
      <c r="N48" s="62"/>
      <c r="O48" s="62"/>
      <c r="P48" s="62"/>
      <c r="Q48" s="62"/>
      <c r="R48" s="62"/>
      <c r="S48" s="62"/>
      <c r="T48" s="62"/>
      <c r="U48" s="62"/>
      <c r="V48" s="62"/>
      <c r="W48" s="62"/>
      <c r="X48" s="62"/>
      <c r="Y48" s="62"/>
      <c r="Z48" s="62"/>
    </row>
    <row r="49" ht="18.75" customHeight="1">
      <c r="A49" s="12" t="s">
        <v>4160</v>
      </c>
      <c r="F49" s="12" t="s">
        <v>4161</v>
      </c>
      <c r="M49" s="62"/>
      <c r="N49" s="62"/>
      <c r="O49" s="62"/>
      <c r="P49" s="62"/>
      <c r="Q49" s="62"/>
      <c r="R49" s="62"/>
      <c r="S49" s="62"/>
      <c r="T49" s="62"/>
      <c r="U49" s="62"/>
      <c r="V49" s="62"/>
      <c r="W49" s="62"/>
      <c r="X49" s="62"/>
      <c r="Y49" s="62"/>
      <c r="Z49" s="62"/>
    </row>
    <row r="50" ht="18.75" customHeight="1">
      <c r="A50" s="12" t="s">
        <v>4162</v>
      </c>
      <c r="F50" s="12" t="s">
        <v>4163</v>
      </c>
      <c r="M50" s="62"/>
      <c r="N50" s="62"/>
      <c r="O50" s="62"/>
      <c r="P50" s="62"/>
      <c r="Q50" s="62"/>
      <c r="R50" s="62"/>
      <c r="S50" s="62"/>
      <c r="T50" s="62"/>
      <c r="U50" s="62"/>
      <c r="V50" s="62"/>
      <c r="W50" s="62"/>
      <c r="X50" s="62"/>
      <c r="Y50" s="62"/>
      <c r="Z50" s="62"/>
    </row>
    <row r="51" ht="18.75" customHeight="1">
      <c r="A51" s="17" t="s">
        <v>4164</v>
      </c>
      <c r="F51" s="17" t="s">
        <v>4165</v>
      </c>
      <c r="M51" s="62"/>
      <c r="N51" s="62"/>
      <c r="O51" s="62"/>
      <c r="P51" s="62"/>
      <c r="Q51" s="62"/>
      <c r="R51" s="62"/>
      <c r="S51" s="62"/>
      <c r="T51" s="62"/>
      <c r="U51" s="62"/>
      <c r="V51" s="62"/>
      <c r="W51" s="62"/>
      <c r="X51" s="62"/>
      <c r="Y51" s="62"/>
      <c r="Z51" s="62"/>
    </row>
    <row r="52" ht="18.75" customHeight="1">
      <c r="A52" s="12" t="s">
        <v>4166</v>
      </c>
      <c r="F52" s="12" t="s">
        <v>4167</v>
      </c>
      <c r="M52" s="62"/>
      <c r="N52" s="62"/>
      <c r="O52" s="62"/>
      <c r="P52" s="62"/>
      <c r="Q52" s="62"/>
      <c r="R52" s="62"/>
      <c r="S52" s="62"/>
      <c r="T52" s="62"/>
      <c r="U52" s="62"/>
      <c r="V52" s="62"/>
      <c r="W52" s="62"/>
      <c r="X52" s="62"/>
      <c r="Y52" s="62"/>
      <c r="Z52" s="62"/>
    </row>
    <row r="53" ht="18.75" customHeight="1">
      <c r="A53" s="12" t="s">
        <v>4168</v>
      </c>
      <c r="F53" s="12" t="s">
        <v>4169</v>
      </c>
      <c r="M53" s="62"/>
      <c r="N53" s="62"/>
      <c r="O53" s="62"/>
      <c r="P53" s="62"/>
      <c r="Q53" s="62"/>
      <c r="R53" s="62"/>
      <c r="S53" s="62"/>
      <c r="T53" s="62"/>
      <c r="U53" s="62"/>
      <c r="V53" s="62"/>
      <c r="W53" s="62"/>
      <c r="X53" s="62"/>
      <c r="Y53" s="62"/>
      <c r="Z53" s="62"/>
    </row>
    <row r="54" ht="18.75" customHeight="1">
      <c r="A54" s="17" t="s">
        <v>4170</v>
      </c>
      <c r="F54" s="17" t="s">
        <v>4171</v>
      </c>
      <c r="M54" s="62"/>
      <c r="N54" s="62"/>
      <c r="O54" s="62"/>
      <c r="P54" s="62"/>
      <c r="Q54" s="62"/>
      <c r="R54" s="62"/>
      <c r="S54" s="62"/>
      <c r="T54" s="62"/>
      <c r="U54" s="62"/>
      <c r="V54" s="62"/>
      <c r="W54" s="62"/>
      <c r="X54" s="62"/>
      <c r="Y54" s="62"/>
      <c r="Z54" s="62"/>
    </row>
    <row r="55" ht="18.75" customHeight="1">
      <c r="A55" s="62"/>
      <c r="B55" s="62"/>
      <c r="C55" s="62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S55" s="62"/>
      <c r="T55" s="62"/>
      <c r="U55" s="62"/>
      <c r="V55" s="62"/>
      <c r="W55" s="62"/>
      <c r="X55" s="62"/>
      <c r="Y55" s="62"/>
      <c r="Z55" s="62"/>
    </row>
    <row r="56" ht="18.75" customHeight="1">
      <c r="A56" s="62"/>
      <c r="B56" s="62"/>
      <c r="C56" s="62"/>
      <c r="D56" s="62"/>
      <c r="E56" s="62"/>
      <c r="F56" s="62"/>
      <c r="G56" s="62"/>
      <c r="H56" s="62"/>
      <c r="I56" s="62"/>
      <c r="J56" s="62"/>
      <c r="K56" s="62"/>
      <c r="L56" s="62"/>
      <c r="M56" s="62"/>
      <c r="N56" s="62"/>
      <c r="O56" s="62"/>
      <c r="P56" s="62"/>
      <c r="Q56" s="62"/>
      <c r="R56" s="62"/>
      <c r="S56" s="62"/>
      <c r="T56" s="62"/>
      <c r="U56" s="62"/>
      <c r="V56" s="62"/>
      <c r="W56" s="62"/>
      <c r="X56" s="62"/>
      <c r="Y56" s="62"/>
      <c r="Z56" s="62"/>
    </row>
    <row r="57" ht="18.75" customHeight="1">
      <c r="A57" s="62"/>
      <c r="B57" s="62"/>
      <c r="C57" s="62"/>
      <c r="D57" s="62"/>
      <c r="E57" s="62"/>
      <c r="F57" s="62"/>
      <c r="G57" s="62"/>
      <c r="H57" s="62"/>
      <c r="I57" s="62"/>
      <c r="J57" s="62"/>
      <c r="K57" s="62"/>
      <c r="L57" s="62"/>
      <c r="M57" s="62"/>
      <c r="N57" s="62"/>
      <c r="O57" s="62"/>
      <c r="P57" s="62"/>
      <c r="Q57" s="62"/>
      <c r="R57" s="62"/>
      <c r="S57" s="62"/>
      <c r="T57" s="62"/>
      <c r="U57" s="62"/>
      <c r="V57" s="62"/>
      <c r="W57" s="62"/>
      <c r="X57" s="62"/>
      <c r="Y57" s="62"/>
      <c r="Z57" s="62"/>
    </row>
    <row r="58" ht="18.75" customHeight="1">
      <c r="A58" s="62"/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62"/>
      <c r="M58" s="62"/>
      <c r="N58" s="62"/>
      <c r="O58" s="62"/>
      <c r="P58" s="62"/>
      <c r="Q58" s="62"/>
      <c r="R58" s="62"/>
      <c r="S58" s="62"/>
      <c r="T58" s="62"/>
      <c r="U58" s="62"/>
      <c r="V58" s="62"/>
      <c r="W58" s="62"/>
      <c r="X58" s="62"/>
      <c r="Y58" s="62"/>
      <c r="Z58" s="62"/>
    </row>
    <row r="59" ht="18.75" customHeight="1">
      <c r="A59" s="62"/>
      <c r="B59" s="62"/>
      <c r="C59" s="62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  <c r="R59" s="62"/>
      <c r="S59" s="62"/>
      <c r="T59" s="62"/>
      <c r="U59" s="62"/>
      <c r="V59" s="62"/>
      <c r="W59" s="62"/>
      <c r="X59" s="62"/>
      <c r="Y59" s="62"/>
      <c r="Z59" s="62"/>
    </row>
    <row r="60" ht="18.75" customHeight="1">
      <c r="A60" s="62"/>
      <c r="B60" s="62"/>
      <c r="C60" s="62"/>
      <c r="D60" s="62"/>
      <c r="E60" s="62"/>
      <c r="F60" s="62"/>
      <c r="G60" s="62"/>
      <c r="H60" s="62"/>
      <c r="I60" s="62"/>
      <c r="J60" s="62"/>
      <c r="K60" s="62"/>
      <c r="L60" s="62"/>
      <c r="M60" s="62"/>
      <c r="N60" s="62"/>
      <c r="O60" s="62"/>
      <c r="P60" s="62"/>
      <c r="Q60" s="62"/>
      <c r="R60" s="62"/>
      <c r="S60" s="62"/>
      <c r="T60" s="62"/>
      <c r="U60" s="62"/>
      <c r="V60" s="62"/>
      <c r="W60" s="62"/>
      <c r="X60" s="62"/>
      <c r="Y60" s="62"/>
      <c r="Z60" s="62"/>
    </row>
    <row r="61" ht="18.75" customHeight="1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62"/>
      <c r="M61" s="62"/>
      <c r="N61" s="62"/>
      <c r="O61" s="62"/>
      <c r="P61" s="62"/>
      <c r="Q61" s="62"/>
      <c r="R61" s="62"/>
      <c r="S61" s="62"/>
      <c r="T61" s="62"/>
      <c r="U61" s="62"/>
      <c r="V61" s="62"/>
      <c r="W61" s="62"/>
      <c r="X61" s="62"/>
      <c r="Y61" s="62"/>
      <c r="Z61" s="62"/>
    </row>
    <row r="62" ht="18.75" customHeight="1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62"/>
      <c r="M62" s="62"/>
      <c r="N62" s="62"/>
      <c r="O62" s="62"/>
      <c r="P62" s="62"/>
      <c r="Q62" s="62"/>
      <c r="R62" s="62"/>
      <c r="S62" s="62"/>
      <c r="T62" s="62"/>
      <c r="U62" s="62"/>
      <c r="V62" s="62"/>
      <c r="W62" s="62"/>
      <c r="X62" s="62"/>
      <c r="Y62" s="62"/>
      <c r="Z62" s="62"/>
    </row>
    <row r="63" ht="18.75" customHeight="1">
      <c r="A63" s="62"/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S63" s="62"/>
      <c r="T63" s="62"/>
      <c r="U63" s="62"/>
      <c r="V63" s="62"/>
      <c r="W63" s="62"/>
      <c r="X63" s="62"/>
      <c r="Y63" s="62"/>
      <c r="Z63" s="62"/>
    </row>
    <row r="64" ht="18.75" customHeight="1">
      <c r="A64" s="62"/>
      <c r="B64" s="62"/>
      <c r="C64" s="62"/>
      <c r="D64" s="62"/>
      <c r="E64" s="62"/>
      <c r="F64" s="62"/>
      <c r="G64" s="62"/>
      <c r="H64" s="62"/>
      <c r="I64" s="62"/>
      <c r="J64" s="62"/>
      <c r="K64" s="62"/>
      <c r="L64" s="62"/>
      <c r="M64" s="62"/>
      <c r="N64" s="62"/>
      <c r="O64" s="62"/>
      <c r="P64" s="62"/>
      <c r="Q64" s="62"/>
      <c r="R64" s="62"/>
      <c r="S64" s="62"/>
      <c r="T64" s="62"/>
      <c r="U64" s="62"/>
      <c r="V64" s="62"/>
      <c r="W64" s="62"/>
      <c r="X64" s="62"/>
      <c r="Y64" s="62"/>
      <c r="Z64" s="62"/>
    </row>
    <row r="65" ht="18.75" customHeight="1">
      <c r="A65" s="62"/>
      <c r="B65" s="62"/>
      <c r="C65" s="62"/>
      <c r="D65" s="62"/>
      <c r="E65" s="62"/>
      <c r="F65" s="62"/>
      <c r="G65" s="62"/>
      <c r="H65" s="62"/>
      <c r="I65" s="62"/>
      <c r="J65" s="62"/>
      <c r="K65" s="62"/>
      <c r="L65" s="62"/>
      <c r="M65" s="62"/>
      <c r="N65" s="62"/>
      <c r="O65" s="62"/>
      <c r="P65" s="62"/>
      <c r="Q65" s="62"/>
      <c r="R65" s="62"/>
      <c r="S65" s="62"/>
      <c r="T65" s="62"/>
      <c r="U65" s="62"/>
      <c r="V65" s="62"/>
      <c r="W65" s="62"/>
      <c r="X65" s="62"/>
      <c r="Y65" s="62"/>
      <c r="Z65" s="62"/>
    </row>
    <row r="66" ht="18.75" customHeight="1">
      <c r="A66" s="62"/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62"/>
      <c r="M66" s="62"/>
      <c r="N66" s="62"/>
      <c r="O66" s="62"/>
      <c r="P66" s="62"/>
      <c r="Q66" s="62"/>
      <c r="R66" s="62"/>
      <c r="S66" s="62"/>
      <c r="T66" s="62"/>
      <c r="U66" s="62"/>
      <c r="V66" s="62"/>
      <c r="W66" s="62"/>
      <c r="X66" s="62"/>
      <c r="Y66" s="62"/>
      <c r="Z66" s="62"/>
    </row>
    <row r="67" ht="18.75" customHeight="1">
      <c r="A67" s="62"/>
      <c r="B67" s="62"/>
      <c r="C67" s="62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S67" s="62"/>
      <c r="T67" s="62"/>
      <c r="U67" s="62"/>
      <c r="V67" s="62"/>
      <c r="W67" s="62"/>
      <c r="X67" s="62"/>
      <c r="Y67" s="62"/>
      <c r="Z67" s="62"/>
    </row>
    <row r="68" ht="18.75" customHeight="1">
      <c r="A68" s="62"/>
      <c r="B68" s="62"/>
      <c r="C68" s="62"/>
      <c r="D68" s="62"/>
      <c r="E68" s="62"/>
      <c r="F68" s="62"/>
      <c r="G68" s="62"/>
      <c r="H68" s="62"/>
      <c r="I68" s="62"/>
      <c r="J68" s="62"/>
      <c r="K68" s="62"/>
      <c r="L68" s="62"/>
      <c r="M68" s="62"/>
      <c r="N68" s="62"/>
      <c r="O68" s="62"/>
      <c r="P68" s="62"/>
      <c r="Q68" s="62"/>
      <c r="R68" s="62"/>
      <c r="S68" s="62"/>
      <c r="T68" s="62"/>
      <c r="U68" s="62"/>
      <c r="V68" s="62"/>
      <c r="W68" s="62"/>
      <c r="X68" s="62"/>
      <c r="Y68" s="62"/>
      <c r="Z68" s="62"/>
    </row>
    <row r="69" ht="18.75" customHeight="1">
      <c r="A69" s="62"/>
      <c r="B69" s="62"/>
      <c r="C69" s="62"/>
      <c r="D69" s="62"/>
      <c r="E69" s="62"/>
      <c r="F69" s="62"/>
      <c r="G69" s="62"/>
      <c r="H69" s="62"/>
      <c r="I69" s="62"/>
      <c r="J69" s="62"/>
      <c r="K69" s="62"/>
      <c r="L69" s="62"/>
      <c r="M69" s="62"/>
      <c r="N69" s="62"/>
      <c r="O69" s="62"/>
      <c r="P69" s="62"/>
      <c r="Q69" s="62"/>
      <c r="R69" s="62"/>
      <c r="S69" s="62"/>
      <c r="T69" s="62"/>
      <c r="U69" s="62"/>
      <c r="V69" s="62"/>
      <c r="W69" s="62"/>
      <c r="X69" s="62"/>
      <c r="Y69" s="62"/>
      <c r="Z69" s="62"/>
    </row>
    <row r="70" ht="18.75" customHeight="1">
      <c r="A70" s="62"/>
      <c r="B70" s="62"/>
      <c r="C70" s="62"/>
      <c r="D70" s="62"/>
      <c r="E70" s="62"/>
      <c r="F70" s="62"/>
      <c r="G70" s="62"/>
      <c r="H70" s="62"/>
      <c r="I70" s="62"/>
      <c r="J70" s="62"/>
      <c r="K70" s="62"/>
      <c r="L70" s="62"/>
      <c r="M70" s="62"/>
      <c r="N70" s="62"/>
      <c r="O70" s="62"/>
      <c r="P70" s="62"/>
      <c r="Q70" s="62"/>
      <c r="R70" s="62"/>
      <c r="S70" s="62"/>
      <c r="T70" s="62"/>
      <c r="U70" s="62"/>
      <c r="V70" s="62"/>
      <c r="W70" s="62"/>
      <c r="X70" s="62"/>
      <c r="Y70" s="62"/>
      <c r="Z70" s="62"/>
    </row>
    <row r="71" ht="18.75" customHeight="1">
      <c r="A71" s="62"/>
      <c r="B71" s="62"/>
      <c r="C71" s="62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  <c r="R71" s="62"/>
      <c r="S71" s="62"/>
      <c r="T71" s="62"/>
      <c r="U71" s="62"/>
      <c r="V71" s="62"/>
      <c r="W71" s="62"/>
      <c r="X71" s="62"/>
      <c r="Y71" s="62"/>
      <c r="Z71" s="62"/>
    </row>
    <row r="72" ht="18.75" customHeight="1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62"/>
      <c r="M72" s="62"/>
      <c r="N72" s="62"/>
      <c r="O72" s="62"/>
      <c r="P72" s="62"/>
      <c r="Q72" s="62"/>
      <c r="R72" s="62"/>
      <c r="S72" s="62"/>
      <c r="T72" s="62"/>
      <c r="U72" s="62"/>
      <c r="V72" s="62"/>
      <c r="W72" s="62"/>
      <c r="X72" s="62"/>
      <c r="Y72" s="62"/>
      <c r="Z72" s="62"/>
    </row>
    <row r="73" ht="18.75" customHeight="1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62"/>
      <c r="M73" s="62"/>
      <c r="N73" s="62"/>
      <c r="O73" s="62"/>
      <c r="P73" s="62"/>
      <c r="Q73" s="62"/>
      <c r="R73" s="62"/>
      <c r="S73" s="62"/>
      <c r="T73" s="62"/>
      <c r="U73" s="62"/>
      <c r="V73" s="62"/>
      <c r="W73" s="62"/>
      <c r="X73" s="62"/>
      <c r="Y73" s="62"/>
      <c r="Z73" s="62"/>
    </row>
    <row r="74" ht="18.75" customHeight="1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62"/>
      <c r="M74" s="62"/>
      <c r="N74" s="62"/>
      <c r="O74" s="62"/>
      <c r="P74" s="62"/>
      <c r="Q74" s="62"/>
      <c r="R74" s="62"/>
      <c r="S74" s="62"/>
      <c r="T74" s="62"/>
      <c r="U74" s="62"/>
      <c r="V74" s="62"/>
      <c r="W74" s="62"/>
      <c r="X74" s="62"/>
      <c r="Y74" s="62"/>
      <c r="Z74" s="62"/>
    </row>
    <row r="75" ht="18.75" customHeight="1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S75" s="62"/>
      <c r="T75" s="62"/>
      <c r="U75" s="62"/>
      <c r="V75" s="62"/>
      <c r="W75" s="62"/>
      <c r="X75" s="62"/>
      <c r="Y75" s="62"/>
      <c r="Z75" s="62"/>
    </row>
    <row r="76" ht="18.75" customHeight="1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  <c r="R76" s="62"/>
      <c r="S76" s="62"/>
      <c r="T76" s="62"/>
      <c r="U76" s="62"/>
      <c r="V76" s="62"/>
      <c r="W76" s="62"/>
      <c r="X76" s="62"/>
      <c r="Y76" s="62"/>
      <c r="Z76" s="62"/>
    </row>
    <row r="77" ht="18.75" customHeight="1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  <c r="R77" s="62"/>
      <c r="S77" s="62"/>
      <c r="T77" s="62"/>
      <c r="U77" s="62"/>
      <c r="V77" s="62"/>
      <c r="W77" s="62"/>
      <c r="X77" s="62"/>
      <c r="Y77" s="62"/>
      <c r="Z77" s="62"/>
    </row>
    <row r="78" ht="18.75" customHeight="1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62"/>
      <c r="W78" s="62"/>
      <c r="X78" s="62"/>
      <c r="Y78" s="62"/>
      <c r="Z78" s="62"/>
    </row>
    <row r="79" ht="18.75" customHeight="1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62"/>
      <c r="W79" s="62"/>
      <c r="X79" s="62"/>
      <c r="Y79" s="62"/>
      <c r="Z79" s="62"/>
    </row>
    <row r="80" ht="18.75" customHeight="1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62"/>
      <c r="W80" s="62"/>
      <c r="X80" s="62"/>
      <c r="Y80" s="62"/>
      <c r="Z80" s="62"/>
    </row>
    <row r="81" ht="18.75" customHeight="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  <c r="R81" s="62"/>
      <c r="S81" s="62"/>
      <c r="T81" s="62"/>
      <c r="U81" s="62"/>
      <c r="V81" s="62"/>
      <c r="W81" s="62"/>
      <c r="X81" s="62"/>
      <c r="Y81" s="62"/>
      <c r="Z81" s="62"/>
    </row>
    <row r="82" ht="18.75" customHeight="1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  <c r="R82" s="62"/>
      <c r="S82" s="62"/>
      <c r="T82" s="62"/>
      <c r="U82" s="62"/>
      <c r="V82" s="62"/>
      <c r="W82" s="62"/>
      <c r="X82" s="62"/>
      <c r="Y82" s="62"/>
      <c r="Z82" s="62"/>
    </row>
    <row r="83" ht="18.75" customHeight="1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S83" s="62"/>
      <c r="T83" s="62"/>
      <c r="U83" s="62"/>
      <c r="V83" s="62"/>
      <c r="W83" s="62"/>
      <c r="X83" s="62"/>
      <c r="Y83" s="62"/>
      <c r="Z83" s="62"/>
    </row>
    <row r="84" ht="18.75" customHeight="1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  <c r="R84" s="62"/>
      <c r="S84" s="62"/>
      <c r="T84" s="62"/>
      <c r="U84" s="62"/>
      <c r="V84" s="62"/>
      <c r="W84" s="62"/>
      <c r="X84" s="62"/>
      <c r="Y84" s="62"/>
      <c r="Z84" s="62"/>
    </row>
    <row r="85" ht="18.75" customHeight="1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  <c r="R85" s="62"/>
      <c r="S85" s="62"/>
      <c r="T85" s="62"/>
      <c r="U85" s="62"/>
      <c r="V85" s="62"/>
      <c r="W85" s="62"/>
      <c r="X85" s="62"/>
      <c r="Y85" s="62"/>
      <c r="Z85" s="62"/>
    </row>
    <row r="86" ht="18.75" customHeight="1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  <c r="R86" s="62"/>
      <c r="S86" s="62"/>
      <c r="T86" s="62"/>
      <c r="U86" s="62"/>
      <c r="V86" s="62"/>
      <c r="W86" s="62"/>
      <c r="X86" s="62"/>
      <c r="Y86" s="62"/>
      <c r="Z86" s="62"/>
    </row>
    <row r="87" ht="18.75" customHeight="1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S87" s="62"/>
      <c r="T87" s="62"/>
      <c r="U87" s="62"/>
      <c r="V87" s="62"/>
      <c r="W87" s="62"/>
      <c r="X87" s="62"/>
      <c r="Y87" s="62"/>
      <c r="Z87" s="62"/>
    </row>
    <row r="88" ht="18.75" customHeight="1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62"/>
      <c r="M88" s="62"/>
      <c r="N88" s="62"/>
      <c r="O88" s="62"/>
      <c r="P88" s="62"/>
      <c r="Q88" s="62"/>
      <c r="R88" s="62"/>
      <c r="S88" s="62"/>
      <c r="T88" s="62"/>
      <c r="U88" s="62"/>
      <c r="V88" s="62"/>
      <c r="W88" s="62"/>
      <c r="X88" s="62"/>
      <c r="Y88" s="62"/>
      <c r="Z88" s="62"/>
    </row>
    <row r="89" ht="18.75" customHeight="1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62"/>
      <c r="M89" s="62"/>
      <c r="N89" s="62"/>
      <c r="O89" s="62"/>
      <c r="P89" s="62"/>
      <c r="Q89" s="62"/>
      <c r="R89" s="62"/>
      <c r="S89" s="62"/>
      <c r="T89" s="62"/>
      <c r="U89" s="62"/>
      <c r="V89" s="62"/>
      <c r="W89" s="62"/>
      <c r="X89" s="62"/>
      <c r="Y89" s="62"/>
      <c r="Z89" s="62"/>
    </row>
    <row r="90" ht="18.75" customHeight="1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62"/>
      <c r="M90" s="62"/>
      <c r="N90" s="62"/>
      <c r="O90" s="62"/>
      <c r="P90" s="62"/>
      <c r="Q90" s="62"/>
      <c r="R90" s="62"/>
      <c r="S90" s="62"/>
      <c r="T90" s="62"/>
      <c r="U90" s="62"/>
      <c r="V90" s="62"/>
      <c r="W90" s="62"/>
      <c r="X90" s="62"/>
      <c r="Y90" s="62"/>
      <c r="Z90" s="62"/>
    </row>
    <row r="91" ht="18.75" customHeight="1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S91" s="62"/>
      <c r="T91" s="62"/>
      <c r="U91" s="62"/>
      <c r="V91" s="62"/>
      <c r="W91" s="62"/>
      <c r="X91" s="62"/>
      <c r="Y91" s="62"/>
      <c r="Z91" s="62"/>
    </row>
    <row r="92" ht="18.75" customHeight="1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  <c r="R92" s="62"/>
      <c r="S92" s="62"/>
      <c r="T92" s="62"/>
      <c r="U92" s="62"/>
      <c r="V92" s="62"/>
      <c r="W92" s="62"/>
      <c r="X92" s="62"/>
      <c r="Y92" s="62"/>
      <c r="Z92" s="62"/>
    </row>
    <row r="93" ht="18.75" customHeight="1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62"/>
      <c r="M93" s="62"/>
      <c r="N93" s="62"/>
      <c r="O93" s="62"/>
      <c r="P93" s="62"/>
      <c r="Q93" s="62"/>
      <c r="R93" s="62"/>
      <c r="S93" s="62"/>
      <c r="T93" s="62"/>
      <c r="U93" s="62"/>
      <c r="V93" s="62"/>
      <c r="W93" s="62"/>
      <c r="X93" s="62"/>
      <c r="Y93" s="62"/>
      <c r="Z93" s="62"/>
    </row>
    <row r="94" ht="18.75" customHeight="1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62"/>
      <c r="M94" s="62"/>
      <c r="N94" s="62"/>
      <c r="O94" s="62"/>
      <c r="P94" s="62"/>
      <c r="Q94" s="62"/>
      <c r="R94" s="62"/>
      <c r="S94" s="62"/>
      <c r="T94" s="62"/>
      <c r="U94" s="62"/>
      <c r="V94" s="62"/>
      <c r="W94" s="62"/>
      <c r="X94" s="62"/>
      <c r="Y94" s="62"/>
      <c r="Z94" s="62"/>
    </row>
    <row r="95" ht="18.75" customHeight="1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  <c r="R95" s="62"/>
      <c r="S95" s="62"/>
      <c r="T95" s="62"/>
      <c r="U95" s="62"/>
      <c r="V95" s="62"/>
      <c r="W95" s="62"/>
      <c r="X95" s="62"/>
      <c r="Y95" s="62"/>
      <c r="Z95" s="62"/>
    </row>
    <row r="96" ht="18.75" customHeight="1">
      <c r="A96" s="62"/>
      <c r="B96" s="62"/>
      <c r="C96" s="62"/>
      <c r="D96" s="62"/>
      <c r="E96" s="62"/>
      <c r="F96" s="62"/>
      <c r="G96" s="62"/>
      <c r="H96" s="62"/>
      <c r="I96" s="62"/>
      <c r="J96" s="62"/>
      <c r="K96" s="62"/>
      <c r="L96" s="62"/>
      <c r="M96" s="62"/>
      <c r="N96" s="62"/>
      <c r="O96" s="62"/>
      <c r="P96" s="62"/>
      <c r="Q96" s="62"/>
      <c r="R96" s="62"/>
      <c r="S96" s="62"/>
      <c r="T96" s="62"/>
      <c r="U96" s="62"/>
      <c r="V96" s="62"/>
      <c r="W96" s="62"/>
      <c r="X96" s="62"/>
      <c r="Y96" s="62"/>
      <c r="Z96" s="62"/>
    </row>
    <row r="97" ht="18.75" customHeight="1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62"/>
      <c r="M97" s="62"/>
      <c r="N97" s="62"/>
      <c r="O97" s="62"/>
      <c r="P97" s="62"/>
      <c r="Q97" s="62"/>
      <c r="R97" s="62"/>
      <c r="S97" s="62"/>
      <c r="T97" s="62"/>
      <c r="U97" s="62"/>
      <c r="V97" s="62"/>
      <c r="W97" s="62"/>
      <c r="X97" s="62"/>
      <c r="Y97" s="62"/>
      <c r="Z97" s="62"/>
    </row>
    <row r="98" ht="18.75" customHeight="1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62"/>
      <c r="M98" s="62"/>
      <c r="N98" s="62"/>
      <c r="O98" s="62"/>
      <c r="P98" s="62"/>
      <c r="Q98" s="62"/>
      <c r="R98" s="62"/>
      <c r="S98" s="62"/>
      <c r="T98" s="62"/>
      <c r="U98" s="62"/>
      <c r="V98" s="62"/>
      <c r="W98" s="62"/>
      <c r="X98" s="62"/>
      <c r="Y98" s="62"/>
      <c r="Z98" s="62"/>
    </row>
    <row r="99" ht="18.75" customHeight="1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S99" s="62"/>
      <c r="T99" s="62"/>
      <c r="U99" s="62"/>
      <c r="V99" s="62"/>
      <c r="W99" s="62"/>
      <c r="X99" s="62"/>
      <c r="Y99" s="62"/>
      <c r="Z99" s="62"/>
    </row>
    <row r="100" ht="18.75" customHeight="1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62"/>
      <c r="M100" s="62"/>
      <c r="N100" s="62"/>
      <c r="O100" s="62"/>
      <c r="P100" s="62"/>
      <c r="Q100" s="62"/>
      <c r="R100" s="62"/>
      <c r="S100" s="62"/>
      <c r="T100" s="62"/>
      <c r="U100" s="62"/>
      <c r="V100" s="62"/>
      <c r="W100" s="62"/>
      <c r="X100" s="62"/>
      <c r="Y100" s="62"/>
      <c r="Z100" s="62"/>
    </row>
  </sheetData>
  <mergeCells count="113">
    <mergeCell ref="B17:C17"/>
    <mergeCell ref="B18:C18"/>
    <mergeCell ref="B12:C12"/>
    <mergeCell ref="D12:E12"/>
    <mergeCell ref="A14:C14"/>
    <mergeCell ref="B15:C15"/>
    <mergeCell ref="A16:A17"/>
    <mergeCell ref="B16:C16"/>
    <mergeCell ref="B19:C19"/>
    <mergeCell ref="A25:E25"/>
    <mergeCell ref="A26:E26"/>
    <mergeCell ref="A27:E27"/>
    <mergeCell ref="A18:A19"/>
    <mergeCell ref="A20:A21"/>
    <mergeCell ref="B20:C20"/>
    <mergeCell ref="B21:C21"/>
    <mergeCell ref="B22:C22"/>
    <mergeCell ref="A24:L24"/>
    <mergeCell ref="F25:L25"/>
    <mergeCell ref="A30:E30"/>
    <mergeCell ref="A31:E31"/>
    <mergeCell ref="A32:E32"/>
    <mergeCell ref="F26:L26"/>
    <mergeCell ref="F27:L27"/>
    <mergeCell ref="A28:E28"/>
    <mergeCell ref="F28:L28"/>
    <mergeCell ref="A29:E29"/>
    <mergeCell ref="F29:L29"/>
    <mergeCell ref="F30:L30"/>
    <mergeCell ref="A35:E35"/>
    <mergeCell ref="A36:E36"/>
    <mergeCell ref="A37:E37"/>
    <mergeCell ref="F31:L31"/>
    <mergeCell ref="F32:L32"/>
    <mergeCell ref="A33:E33"/>
    <mergeCell ref="F33:L33"/>
    <mergeCell ref="A34:E34"/>
    <mergeCell ref="F34:L34"/>
    <mergeCell ref="F35:L35"/>
    <mergeCell ref="A40:E40"/>
    <mergeCell ref="A41:E41"/>
    <mergeCell ref="A42:E42"/>
    <mergeCell ref="F36:L36"/>
    <mergeCell ref="F37:L37"/>
    <mergeCell ref="A38:E38"/>
    <mergeCell ref="F38:L38"/>
    <mergeCell ref="A39:E39"/>
    <mergeCell ref="F39:L39"/>
    <mergeCell ref="F40:L40"/>
    <mergeCell ref="A45:E45"/>
    <mergeCell ref="A46:E46"/>
    <mergeCell ref="A47:E47"/>
    <mergeCell ref="F41:L41"/>
    <mergeCell ref="F42:L42"/>
    <mergeCell ref="A43:E43"/>
    <mergeCell ref="F43:L43"/>
    <mergeCell ref="A44:E44"/>
    <mergeCell ref="F44:L44"/>
    <mergeCell ref="F45:L45"/>
    <mergeCell ref="A50:E50"/>
    <mergeCell ref="A51:E51"/>
    <mergeCell ref="A52:E52"/>
    <mergeCell ref="F46:L46"/>
    <mergeCell ref="F47:L47"/>
    <mergeCell ref="A48:E48"/>
    <mergeCell ref="F48:L48"/>
    <mergeCell ref="A49:E49"/>
    <mergeCell ref="F49:L49"/>
    <mergeCell ref="F50:L50"/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F51:L51"/>
    <mergeCell ref="F52:L52"/>
    <mergeCell ref="A53:E53"/>
    <mergeCell ref="F53:L53"/>
    <mergeCell ref="A54:E54"/>
    <mergeCell ref="F54:L5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1" t="s">
        <v>3785</v>
      </c>
      <c r="B1" s="62" t="s">
        <v>3786</v>
      </c>
      <c r="F1" s="62"/>
      <c r="G1" s="62"/>
      <c r="H1" s="62"/>
      <c r="I1" s="62"/>
      <c r="J1" s="62"/>
      <c r="K1" s="62"/>
      <c r="L1" s="62"/>
      <c r="M1" s="78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</row>
    <row r="2" ht="18.75" customHeight="1">
      <c r="A2" s="61" t="s">
        <v>3787</v>
      </c>
      <c r="B2" s="62" t="s">
        <v>3788</v>
      </c>
      <c r="F2" s="62"/>
      <c r="G2" s="62"/>
      <c r="H2" s="62"/>
      <c r="I2" s="62"/>
      <c r="J2" s="62"/>
      <c r="K2" s="62"/>
      <c r="L2" s="62"/>
      <c r="M2" s="78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</row>
    <row r="3" ht="18.75" customHeight="1">
      <c r="A3" s="61" t="s">
        <v>3789</v>
      </c>
      <c r="B3" s="62" t="s">
        <v>3953</v>
      </c>
      <c r="F3" s="62"/>
      <c r="G3" s="62"/>
      <c r="H3" s="62"/>
      <c r="I3" s="62"/>
      <c r="J3" s="62"/>
      <c r="K3" s="62"/>
      <c r="L3" s="62"/>
      <c r="N3" s="62"/>
      <c r="O3" s="62"/>
      <c r="P3" s="62"/>
      <c r="Q3" s="62"/>
      <c r="R3" s="62"/>
      <c r="S3" s="62"/>
      <c r="T3" s="62"/>
      <c r="U3" s="62"/>
      <c r="V3" s="62"/>
      <c r="W3" s="62"/>
      <c r="X3" s="62"/>
      <c r="Y3" s="62"/>
      <c r="Z3" s="62"/>
    </row>
    <row r="4" ht="18.75" customHeight="1">
      <c r="F4" s="62"/>
      <c r="G4" s="62"/>
      <c r="H4" s="62"/>
      <c r="I4" s="62"/>
      <c r="J4" s="62"/>
      <c r="K4" s="62"/>
      <c r="L4" s="62"/>
      <c r="N4" s="62"/>
      <c r="O4" s="62"/>
      <c r="P4" s="62"/>
      <c r="Q4" s="62"/>
      <c r="R4" s="62"/>
      <c r="S4" s="62"/>
      <c r="T4" s="62"/>
      <c r="U4" s="62"/>
      <c r="V4" s="62"/>
      <c r="W4" s="62"/>
      <c r="X4" s="62"/>
      <c r="Y4" s="62"/>
      <c r="Z4" s="62"/>
    </row>
    <row r="5" ht="18.75" customHeight="1">
      <c r="A5" s="61" t="s">
        <v>4172</v>
      </c>
      <c r="C5" s="62"/>
      <c r="D5" s="61" t="s">
        <v>4173</v>
      </c>
      <c r="F5" s="62"/>
      <c r="G5" s="62"/>
      <c r="H5" s="62"/>
      <c r="I5" s="62"/>
      <c r="J5" s="62"/>
      <c r="K5" s="62"/>
      <c r="L5" s="62"/>
      <c r="N5" s="62"/>
      <c r="O5" s="62"/>
      <c r="P5" s="62"/>
      <c r="Q5" s="62"/>
      <c r="R5" s="62"/>
      <c r="S5" s="62"/>
      <c r="T5" s="62"/>
      <c r="U5" s="62"/>
      <c r="V5" s="62"/>
      <c r="W5" s="62"/>
      <c r="X5" s="62"/>
      <c r="Y5" s="62"/>
      <c r="Z5" s="62"/>
    </row>
    <row r="6" ht="18.75" customHeight="1">
      <c r="A6" s="61" t="s">
        <v>4174</v>
      </c>
      <c r="B6" s="61" t="s">
        <v>4175</v>
      </c>
      <c r="C6" s="62"/>
      <c r="D6" s="61" t="s">
        <v>4174</v>
      </c>
      <c r="E6" s="61" t="s">
        <v>4175</v>
      </c>
      <c r="F6" s="62"/>
      <c r="G6" s="62"/>
      <c r="H6" s="62"/>
      <c r="I6" s="62"/>
      <c r="J6" s="62"/>
      <c r="K6" s="62"/>
      <c r="L6" s="62"/>
      <c r="N6" s="62"/>
      <c r="O6" s="62"/>
      <c r="P6" s="62"/>
      <c r="Q6" s="62"/>
      <c r="R6" s="62"/>
      <c r="S6" s="62"/>
      <c r="T6" s="62"/>
      <c r="U6" s="62"/>
      <c r="V6" s="62"/>
      <c r="W6" s="62"/>
      <c r="X6" s="62"/>
      <c r="Y6" s="62"/>
      <c r="Z6" s="62"/>
    </row>
    <row r="7" ht="18.75" customHeight="1">
      <c r="A7" s="62" t="s">
        <v>4176</v>
      </c>
      <c r="B7" s="62" t="s">
        <v>4177</v>
      </c>
      <c r="C7" s="62"/>
      <c r="D7" s="62" t="s">
        <v>4178</v>
      </c>
      <c r="E7" s="62" t="s">
        <v>4179</v>
      </c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62"/>
      <c r="U7" s="62"/>
      <c r="V7" s="62"/>
      <c r="W7" s="62"/>
      <c r="X7" s="62"/>
      <c r="Y7" s="62"/>
      <c r="Z7" s="62"/>
    </row>
    <row r="8" ht="18.75" customHeight="1">
      <c r="A8" s="62" t="s">
        <v>4180</v>
      </c>
      <c r="B8" s="62" t="s">
        <v>4181</v>
      </c>
      <c r="C8" s="62"/>
      <c r="D8" s="62" t="s">
        <v>4182</v>
      </c>
      <c r="E8" s="62" t="s">
        <v>4183</v>
      </c>
      <c r="F8" s="62"/>
      <c r="G8" s="62"/>
      <c r="H8" s="62"/>
      <c r="I8" s="62"/>
      <c r="J8" s="62"/>
      <c r="K8" s="62"/>
      <c r="L8" s="62"/>
      <c r="M8" s="62"/>
      <c r="N8" s="62"/>
      <c r="O8" s="62"/>
      <c r="P8" s="62"/>
      <c r="Q8" s="62"/>
      <c r="R8" s="62"/>
      <c r="S8" s="62"/>
      <c r="T8" s="62"/>
      <c r="U8" s="62"/>
      <c r="V8" s="62"/>
      <c r="W8" s="62"/>
      <c r="X8" s="62"/>
      <c r="Y8" s="62"/>
      <c r="Z8" s="62"/>
    </row>
    <row r="9" ht="18.75" customHeight="1">
      <c r="A9" s="62" t="s">
        <v>4184</v>
      </c>
      <c r="B9" s="62" t="s">
        <v>4185</v>
      </c>
      <c r="C9" s="62"/>
      <c r="D9" s="62" t="s">
        <v>4186</v>
      </c>
      <c r="E9" s="62" t="s">
        <v>4187</v>
      </c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  <c r="R9" s="62"/>
      <c r="S9" s="62"/>
      <c r="T9" s="62"/>
      <c r="U9" s="62"/>
      <c r="V9" s="62"/>
      <c r="W9" s="62"/>
      <c r="X9" s="62"/>
      <c r="Y9" s="62"/>
      <c r="Z9" s="62"/>
    </row>
    <row r="10" ht="18.75" customHeight="1">
      <c r="A10" s="62" t="s">
        <v>4188</v>
      </c>
      <c r="B10" s="62" t="s">
        <v>4189</v>
      </c>
      <c r="C10" s="62"/>
      <c r="D10" s="62" t="s">
        <v>4190</v>
      </c>
      <c r="E10" s="62" t="s">
        <v>4191</v>
      </c>
      <c r="F10" s="62"/>
      <c r="G10" s="62"/>
      <c r="H10" s="62"/>
      <c r="I10" s="62"/>
      <c r="J10" s="62"/>
      <c r="K10" s="62"/>
      <c r="L10" s="62"/>
      <c r="M10" s="62"/>
      <c r="N10" s="62"/>
      <c r="O10" s="62"/>
      <c r="P10" s="62"/>
      <c r="Q10" s="62"/>
      <c r="R10" s="62"/>
      <c r="S10" s="62"/>
      <c r="T10" s="62"/>
      <c r="U10" s="62"/>
      <c r="V10" s="62"/>
      <c r="W10" s="62"/>
      <c r="X10" s="62"/>
      <c r="Y10" s="62"/>
      <c r="Z10" s="62"/>
    </row>
    <row r="11" ht="18.75" customHeight="1">
      <c r="A11" s="62" t="s">
        <v>4192</v>
      </c>
      <c r="B11" s="62" t="s">
        <v>4193</v>
      </c>
      <c r="C11" s="62"/>
      <c r="D11" s="62" t="s">
        <v>4194</v>
      </c>
      <c r="E11" s="62" t="s">
        <v>4195</v>
      </c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S11" s="62"/>
      <c r="T11" s="62"/>
      <c r="U11" s="62"/>
      <c r="V11" s="62"/>
      <c r="W11" s="62"/>
      <c r="X11" s="62"/>
      <c r="Y11" s="62"/>
      <c r="Z11" s="62"/>
    </row>
    <row r="12" ht="18.75" customHeight="1">
      <c r="A12" s="62" t="s">
        <v>4196</v>
      </c>
      <c r="B12" s="62" t="s">
        <v>4197</v>
      </c>
      <c r="C12" s="62"/>
      <c r="D12" s="62" t="s">
        <v>4198</v>
      </c>
      <c r="E12" s="62" t="s">
        <v>4199</v>
      </c>
      <c r="F12" s="62"/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  <c r="R12" s="62"/>
      <c r="S12" s="62"/>
      <c r="T12" s="62"/>
      <c r="U12" s="62"/>
      <c r="V12" s="62"/>
      <c r="W12" s="62"/>
      <c r="X12" s="62"/>
      <c r="Y12" s="62"/>
      <c r="Z12" s="62"/>
    </row>
    <row r="13" ht="18.75" customHeight="1">
      <c r="A13" s="62" t="s">
        <v>4200</v>
      </c>
      <c r="B13" s="62" t="s">
        <v>4201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  <c r="T13" s="62"/>
      <c r="U13" s="62"/>
      <c r="V13" s="62"/>
      <c r="W13" s="62"/>
      <c r="X13" s="62"/>
      <c r="Y13" s="62"/>
      <c r="Z13" s="62"/>
    </row>
    <row r="14" ht="18.75" customHeight="1">
      <c r="A14" s="62" t="s">
        <v>4202</v>
      </c>
      <c r="B14" s="62" t="s">
        <v>4203</v>
      </c>
      <c r="C14" s="62"/>
      <c r="D14" s="62"/>
      <c r="E14" s="62"/>
      <c r="F14" s="62"/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  <c r="R14" s="62"/>
      <c r="S14" s="62"/>
      <c r="T14" s="62"/>
      <c r="U14" s="62"/>
      <c r="V14" s="62"/>
      <c r="W14" s="62"/>
      <c r="X14" s="62"/>
      <c r="Y14" s="62"/>
      <c r="Z14" s="62"/>
    </row>
    <row r="15" ht="18.75" customHeight="1">
      <c r="A15" s="62" t="s">
        <v>4204</v>
      </c>
      <c r="B15" s="62" t="s">
        <v>4205</v>
      </c>
      <c r="C15" s="62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S15" s="62"/>
      <c r="T15" s="62"/>
      <c r="U15" s="62"/>
      <c r="V15" s="62"/>
      <c r="W15" s="62"/>
      <c r="X15" s="62"/>
      <c r="Y15" s="62"/>
      <c r="Z15" s="62"/>
    </row>
    <row r="16" ht="18.75" customHeight="1">
      <c r="A16" s="62" t="s">
        <v>4206</v>
      </c>
      <c r="B16" s="62" t="s">
        <v>4207</v>
      </c>
      <c r="C16" s="62"/>
      <c r="D16" s="62"/>
      <c r="E16" s="62"/>
      <c r="F16" s="62"/>
      <c r="G16" s="62"/>
      <c r="H16" s="62"/>
      <c r="I16" s="62"/>
      <c r="J16" s="62"/>
      <c r="K16" s="62"/>
      <c r="L16" s="62"/>
      <c r="M16" s="62"/>
      <c r="N16" s="62"/>
      <c r="O16" s="62"/>
      <c r="P16" s="62"/>
      <c r="Q16" s="62"/>
      <c r="R16" s="62"/>
      <c r="S16" s="62"/>
      <c r="T16" s="62"/>
      <c r="U16" s="62"/>
      <c r="V16" s="62"/>
      <c r="W16" s="62"/>
      <c r="X16" s="62"/>
      <c r="Y16" s="62"/>
      <c r="Z16" s="62"/>
    </row>
    <row r="17" ht="18.75" customHeight="1">
      <c r="A17" s="62"/>
      <c r="B17" s="62"/>
      <c r="C17" s="62"/>
      <c r="D17" s="62"/>
      <c r="E17" s="62"/>
      <c r="F17" s="62"/>
      <c r="G17" s="62"/>
      <c r="H17" s="62"/>
      <c r="I17" s="62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  <c r="Y17" s="62"/>
      <c r="Z17" s="62"/>
    </row>
    <row r="18" ht="18.75" customHeight="1">
      <c r="A18" s="61" t="s">
        <v>4208</v>
      </c>
      <c r="E18" s="62"/>
      <c r="F18" s="62"/>
      <c r="G18" s="62"/>
      <c r="H18" s="62"/>
      <c r="I18" s="62"/>
      <c r="J18" s="62"/>
      <c r="K18" s="62"/>
      <c r="L18" s="62"/>
      <c r="M18" s="62"/>
      <c r="N18" s="62"/>
      <c r="O18" s="62"/>
      <c r="P18" s="62"/>
      <c r="Q18" s="62"/>
      <c r="R18" s="62"/>
      <c r="S18" s="62"/>
      <c r="T18" s="62"/>
      <c r="U18" s="62"/>
      <c r="V18" s="62"/>
      <c r="W18" s="62"/>
      <c r="X18" s="62"/>
      <c r="Y18" s="62"/>
      <c r="Z18" s="62"/>
    </row>
    <row r="19" ht="18.75" customHeight="1">
      <c r="A19" s="61" t="s">
        <v>4174</v>
      </c>
      <c r="B19" s="61" t="s">
        <v>4175</v>
      </c>
      <c r="C19" s="61" t="s">
        <v>3956</v>
      </c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S19" s="62"/>
      <c r="T19" s="62"/>
      <c r="U19" s="62"/>
      <c r="V19" s="62"/>
      <c r="W19" s="62"/>
      <c r="X19" s="62"/>
      <c r="Y19" s="62"/>
      <c r="Z19" s="62"/>
    </row>
    <row r="20" ht="18.75" customHeight="1">
      <c r="A20" s="62" t="s">
        <v>4209</v>
      </c>
      <c r="B20" s="62" t="s">
        <v>4210</v>
      </c>
      <c r="C20" s="62"/>
      <c r="E20" s="62"/>
      <c r="F20" s="62"/>
      <c r="G20" s="62"/>
      <c r="H20" s="62"/>
      <c r="I20" s="62"/>
      <c r="J20" s="62"/>
      <c r="K20" s="62"/>
      <c r="L20" s="62"/>
      <c r="M20" s="62"/>
      <c r="N20" s="62"/>
      <c r="O20" s="62"/>
      <c r="P20" s="62"/>
      <c r="Q20" s="62"/>
      <c r="R20" s="62"/>
      <c r="S20" s="62"/>
      <c r="T20" s="62"/>
      <c r="U20" s="62"/>
      <c r="V20" s="62"/>
      <c r="W20" s="62"/>
      <c r="X20" s="62"/>
      <c r="Y20" s="62"/>
      <c r="Z20" s="62"/>
    </row>
    <row r="21" ht="18.75" customHeight="1">
      <c r="A21" s="62" t="s">
        <v>3972</v>
      </c>
      <c r="B21" s="62" t="s">
        <v>4211</v>
      </c>
      <c r="C21" s="62"/>
      <c r="E21" s="62"/>
      <c r="F21" s="62"/>
      <c r="G21" s="62"/>
      <c r="H21" s="62"/>
      <c r="I21" s="62"/>
      <c r="J21" s="62"/>
      <c r="K21" s="62"/>
      <c r="L21" s="62"/>
      <c r="M21" s="62"/>
      <c r="N21" s="62"/>
      <c r="O21" s="62"/>
      <c r="P21" s="62"/>
      <c r="Q21" s="62"/>
      <c r="R21" s="62"/>
      <c r="S21" s="62"/>
      <c r="T21" s="62"/>
      <c r="U21" s="62"/>
      <c r="V21" s="62"/>
      <c r="W21" s="62"/>
      <c r="X21" s="62"/>
      <c r="Y21" s="62"/>
      <c r="Z21" s="62"/>
    </row>
    <row r="22" ht="18.75" customHeight="1">
      <c r="A22" s="62" t="s">
        <v>3967</v>
      </c>
      <c r="B22" s="62" t="s">
        <v>4212</v>
      </c>
      <c r="C22" s="62"/>
      <c r="E22" s="62"/>
      <c r="F22" s="62"/>
      <c r="G22" s="62"/>
      <c r="H22" s="62"/>
      <c r="I22" s="62"/>
      <c r="J22" s="62"/>
      <c r="K22" s="62"/>
      <c r="L22" s="62"/>
      <c r="M22" s="62"/>
      <c r="N22" s="62"/>
      <c r="O22" s="62"/>
      <c r="P22" s="62"/>
      <c r="Q22" s="62"/>
      <c r="R22" s="62"/>
      <c r="S22" s="62"/>
      <c r="T22" s="62"/>
      <c r="U22" s="62"/>
      <c r="V22" s="62"/>
      <c r="W22" s="62"/>
      <c r="X22" s="62"/>
      <c r="Y22" s="62"/>
      <c r="Z22" s="62"/>
    </row>
    <row r="23" ht="18.75" customHeight="1">
      <c r="A23" s="62" t="s">
        <v>4213</v>
      </c>
      <c r="B23" s="62" t="s">
        <v>4214</v>
      </c>
      <c r="C23" s="62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S23" s="62"/>
      <c r="T23" s="62"/>
      <c r="U23" s="62"/>
      <c r="V23" s="62"/>
      <c r="W23" s="62"/>
      <c r="X23" s="62"/>
      <c r="Y23" s="62"/>
      <c r="Z23" s="62"/>
    </row>
    <row r="24" ht="18.75" customHeight="1">
      <c r="A24" s="62" t="s">
        <v>4215</v>
      </c>
      <c r="B24" s="62" t="s">
        <v>4216</v>
      </c>
      <c r="C24" s="62" t="s">
        <v>4217</v>
      </c>
      <c r="E24" s="62"/>
      <c r="F24" s="62"/>
      <c r="G24" s="62"/>
      <c r="H24" s="62"/>
      <c r="I24" s="62"/>
      <c r="J24" s="62"/>
      <c r="K24" s="62"/>
      <c r="L24" s="62"/>
      <c r="M24" s="62"/>
      <c r="N24" s="62"/>
      <c r="O24" s="62"/>
      <c r="P24" s="62"/>
      <c r="Q24" s="62"/>
      <c r="R24" s="62"/>
      <c r="S24" s="62"/>
      <c r="T24" s="62"/>
      <c r="U24" s="62"/>
      <c r="V24" s="62"/>
      <c r="W24" s="62"/>
      <c r="X24" s="62"/>
      <c r="Y24" s="62"/>
      <c r="Z24" s="62"/>
    </row>
    <row r="25" ht="18.75" customHeight="1">
      <c r="A25" s="62" t="s">
        <v>4218</v>
      </c>
      <c r="B25" s="62" t="s">
        <v>4219</v>
      </c>
      <c r="C25" s="62" t="s">
        <v>4220</v>
      </c>
      <c r="E25" s="62"/>
      <c r="F25" s="62"/>
      <c r="G25" s="62"/>
      <c r="H25" s="62"/>
      <c r="I25" s="62"/>
      <c r="J25" s="62"/>
      <c r="K25" s="62"/>
      <c r="L25" s="62"/>
      <c r="M25" s="62"/>
      <c r="N25" s="62"/>
      <c r="O25" s="62"/>
      <c r="P25" s="62"/>
      <c r="Q25" s="62"/>
      <c r="R25" s="62"/>
      <c r="S25" s="62"/>
      <c r="T25" s="62"/>
      <c r="U25" s="62"/>
      <c r="V25" s="62"/>
      <c r="W25" s="62"/>
      <c r="X25" s="62"/>
      <c r="Y25" s="62"/>
      <c r="Z25" s="62"/>
    </row>
    <row r="26" ht="18.75" customHeight="1">
      <c r="A26" s="62" t="s">
        <v>4221</v>
      </c>
      <c r="B26" s="62" t="s">
        <v>4222</v>
      </c>
      <c r="C26" s="62" t="s">
        <v>4223</v>
      </c>
      <c r="E26" s="62"/>
      <c r="F26" s="62"/>
      <c r="G26" s="62"/>
      <c r="H26" s="62"/>
      <c r="I26" s="62"/>
      <c r="J26" s="62"/>
      <c r="K26" s="62"/>
      <c r="L26" s="62"/>
      <c r="M26" s="62"/>
      <c r="N26" s="62"/>
      <c r="O26" s="62"/>
      <c r="P26" s="62"/>
      <c r="Q26" s="62"/>
      <c r="R26" s="62"/>
      <c r="S26" s="62"/>
      <c r="T26" s="62"/>
      <c r="U26" s="62"/>
      <c r="V26" s="62"/>
      <c r="W26" s="62"/>
      <c r="X26" s="62"/>
      <c r="Y26" s="62"/>
      <c r="Z26" s="62"/>
    </row>
    <row r="27" ht="18.75" customHeight="1">
      <c r="A27" s="62" t="s">
        <v>4224</v>
      </c>
      <c r="C27" s="62" t="s">
        <v>4225</v>
      </c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S27" s="62"/>
      <c r="T27" s="62"/>
      <c r="U27" s="62"/>
      <c r="V27" s="62"/>
      <c r="W27" s="62"/>
      <c r="X27" s="62"/>
      <c r="Y27" s="62"/>
      <c r="Z27" s="62"/>
    </row>
    <row r="28" ht="18.75" customHeight="1">
      <c r="A28" s="62" t="s">
        <v>4226</v>
      </c>
      <c r="C28" s="62" t="s">
        <v>4227</v>
      </c>
      <c r="E28" s="62"/>
      <c r="F28" s="62"/>
      <c r="G28" s="62"/>
      <c r="H28" s="62"/>
      <c r="I28" s="62"/>
      <c r="J28" s="62"/>
      <c r="K28" s="62"/>
      <c r="L28" s="62"/>
      <c r="M28" s="62"/>
      <c r="N28" s="62"/>
      <c r="O28" s="62"/>
      <c r="P28" s="62"/>
      <c r="Q28" s="62"/>
      <c r="R28" s="62"/>
      <c r="S28" s="62"/>
      <c r="T28" s="62"/>
      <c r="U28" s="62"/>
      <c r="V28" s="62"/>
      <c r="W28" s="62"/>
      <c r="X28" s="62"/>
      <c r="Y28" s="62"/>
      <c r="Z28" s="62"/>
    </row>
    <row r="29" ht="18.75" customHeight="1">
      <c r="A29" s="62" t="s">
        <v>4228</v>
      </c>
      <c r="C29" s="62" t="s">
        <v>4229</v>
      </c>
      <c r="E29" s="62"/>
      <c r="F29" s="62"/>
      <c r="G29" s="62"/>
      <c r="H29" s="62"/>
      <c r="I29" s="62"/>
      <c r="J29" s="62"/>
      <c r="K29" s="62"/>
      <c r="L29" s="62"/>
      <c r="M29" s="62"/>
      <c r="N29" s="62"/>
      <c r="O29" s="62"/>
      <c r="P29" s="62"/>
      <c r="Q29" s="62"/>
      <c r="R29" s="62"/>
      <c r="S29" s="62"/>
      <c r="T29" s="62"/>
      <c r="U29" s="62"/>
      <c r="V29" s="62"/>
      <c r="W29" s="62"/>
      <c r="X29" s="62"/>
      <c r="Y29" s="62"/>
      <c r="Z29" s="62"/>
    </row>
    <row r="30" ht="18.75" customHeight="1">
      <c r="A30" s="62" t="s">
        <v>4230</v>
      </c>
      <c r="C30" s="62" t="s">
        <v>4231</v>
      </c>
      <c r="E30" s="62"/>
      <c r="F30" s="62"/>
      <c r="G30" s="62"/>
      <c r="H30" s="62"/>
      <c r="I30" s="62"/>
      <c r="J30" s="62"/>
      <c r="K30" s="62"/>
      <c r="L30" s="62"/>
      <c r="M30" s="62"/>
      <c r="N30" s="62"/>
      <c r="O30" s="62"/>
      <c r="P30" s="62"/>
      <c r="Q30" s="62"/>
      <c r="R30" s="62"/>
      <c r="S30" s="62"/>
      <c r="T30" s="62"/>
      <c r="U30" s="62"/>
      <c r="V30" s="62"/>
      <c r="W30" s="62"/>
      <c r="X30" s="62"/>
      <c r="Y30" s="62"/>
      <c r="Z30" s="62"/>
    </row>
    <row r="31" ht="18.75" customHeight="1">
      <c r="A31" s="62" t="s">
        <v>4232</v>
      </c>
      <c r="C31" s="86" t="s">
        <v>4233</v>
      </c>
      <c r="E31" s="62"/>
      <c r="F31" s="62"/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R31" s="62"/>
      <c r="S31" s="62"/>
      <c r="T31" s="62"/>
      <c r="U31" s="62"/>
      <c r="V31" s="62"/>
      <c r="W31" s="62"/>
      <c r="X31" s="62"/>
      <c r="Y31" s="62"/>
      <c r="Z31" s="62"/>
    </row>
    <row r="32" ht="18.75" customHeight="1">
      <c r="A32" s="62" t="s">
        <v>4234</v>
      </c>
      <c r="C32" s="62"/>
      <c r="E32" s="62"/>
      <c r="F32" s="62"/>
      <c r="G32" s="62"/>
      <c r="H32" s="62"/>
      <c r="I32" s="62"/>
      <c r="J32" s="62"/>
      <c r="K32" s="62"/>
      <c r="L32" s="62"/>
      <c r="M32" s="62"/>
      <c r="N32" s="62"/>
      <c r="O32" s="62"/>
      <c r="P32" s="62"/>
      <c r="Q32" s="62"/>
      <c r="R32" s="62"/>
      <c r="S32" s="62"/>
      <c r="T32" s="62"/>
      <c r="U32" s="62"/>
      <c r="V32" s="62"/>
      <c r="W32" s="62"/>
      <c r="X32" s="62"/>
      <c r="Y32" s="62"/>
      <c r="Z32" s="62"/>
    </row>
    <row r="33" ht="18.75" customHeight="1">
      <c r="A33" s="62" t="s">
        <v>4235</v>
      </c>
      <c r="B33" s="62" t="s">
        <v>4236</v>
      </c>
      <c r="C33" s="62"/>
      <c r="E33" s="62"/>
      <c r="F33" s="62"/>
      <c r="G33" s="62"/>
      <c r="H33" s="62"/>
      <c r="I33" s="62"/>
      <c r="J33" s="62"/>
      <c r="K33" s="62"/>
      <c r="L33" s="62"/>
      <c r="M33" s="62"/>
      <c r="N33" s="62"/>
      <c r="O33" s="62"/>
      <c r="P33" s="62"/>
      <c r="Q33" s="62"/>
      <c r="R33" s="62"/>
      <c r="S33" s="62"/>
      <c r="T33" s="62"/>
      <c r="U33" s="62"/>
      <c r="V33" s="62"/>
      <c r="W33" s="62"/>
      <c r="X33" s="62"/>
      <c r="Y33" s="62"/>
      <c r="Z33" s="62"/>
    </row>
    <row r="34" ht="18.75" customHeight="1">
      <c r="A34" s="62" t="s">
        <v>4237</v>
      </c>
      <c r="B34" s="62" t="s">
        <v>4238</v>
      </c>
      <c r="C34" s="62"/>
      <c r="E34" s="62"/>
      <c r="F34" s="62"/>
      <c r="G34" s="62"/>
      <c r="H34" s="62"/>
      <c r="I34" s="62"/>
      <c r="J34" s="62"/>
      <c r="K34" s="62"/>
      <c r="L34" s="62"/>
      <c r="M34" s="62"/>
      <c r="N34" s="62"/>
      <c r="O34" s="62"/>
      <c r="P34" s="62"/>
      <c r="Q34" s="62"/>
      <c r="R34" s="62"/>
      <c r="S34" s="62"/>
      <c r="T34" s="62"/>
      <c r="U34" s="62"/>
      <c r="V34" s="62"/>
      <c r="W34" s="62"/>
      <c r="X34" s="62"/>
      <c r="Y34" s="62"/>
      <c r="Z34" s="62"/>
    </row>
    <row r="35" ht="18.75" customHeight="1">
      <c r="A35" s="62" t="s">
        <v>4239</v>
      </c>
      <c r="B35" s="62" t="s">
        <v>4240</v>
      </c>
      <c r="C35" s="62" t="s">
        <v>4241</v>
      </c>
      <c r="E35" s="62"/>
      <c r="F35" s="62"/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S35" s="62"/>
      <c r="T35" s="62"/>
      <c r="U35" s="62"/>
      <c r="V35" s="62"/>
      <c r="W35" s="62"/>
      <c r="X35" s="62"/>
      <c r="Y35" s="62"/>
      <c r="Z35" s="62"/>
    </row>
    <row r="36" ht="18.75" customHeight="1">
      <c r="A36" s="62" t="s">
        <v>4242</v>
      </c>
      <c r="B36" s="62" t="s">
        <v>4243</v>
      </c>
      <c r="C36" s="62"/>
      <c r="E36" s="62"/>
      <c r="F36" s="62"/>
      <c r="G36" s="62"/>
      <c r="H36" s="62"/>
      <c r="I36" s="62"/>
      <c r="J36" s="62"/>
      <c r="K36" s="62"/>
      <c r="L36" s="62"/>
      <c r="M36" s="62"/>
      <c r="N36" s="62"/>
      <c r="O36" s="62"/>
      <c r="P36" s="62"/>
      <c r="Q36" s="62"/>
      <c r="R36" s="62"/>
      <c r="S36" s="62"/>
      <c r="T36" s="62"/>
      <c r="U36" s="62"/>
      <c r="V36" s="62"/>
      <c r="W36" s="62"/>
      <c r="X36" s="62"/>
      <c r="Y36" s="62"/>
      <c r="Z36" s="62"/>
    </row>
    <row r="37" ht="18.75" customHeight="1">
      <c r="A37" s="62" t="s">
        <v>4244</v>
      </c>
      <c r="B37" s="62" t="s">
        <v>4245</v>
      </c>
      <c r="C37" s="62" t="s">
        <v>4246</v>
      </c>
      <c r="E37" s="62"/>
      <c r="F37" s="62"/>
      <c r="G37" s="62"/>
      <c r="H37" s="62"/>
      <c r="I37" s="62"/>
      <c r="J37" s="62"/>
      <c r="K37" s="62"/>
      <c r="L37" s="62"/>
      <c r="M37" s="62"/>
      <c r="N37" s="62"/>
      <c r="O37" s="62"/>
      <c r="P37" s="62"/>
      <c r="Q37" s="62"/>
      <c r="R37" s="62"/>
      <c r="S37" s="62"/>
      <c r="T37" s="62"/>
      <c r="U37" s="62"/>
      <c r="V37" s="62"/>
      <c r="W37" s="62"/>
      <c r="X37" s="62"/>
      <c r="Y37" s="62"/>
      <c r="Z37" s="62"/>
    </row>
    <row r="38" ht="18.75" customHeight="1">
      <c r="A38" s="62" t="s">
        <v>4247</v>
      </c>
      <c r="B38" s="62" t="s">
        <v>4248</v>
      </c>
      <c r="C38" s="62"/>
      <c r="E38" s="62"/>
      <c r="F38" s="62"/>
      <c r="G38" s="62"/>
      <c r="H38" s="62"/>
      <c r="I38" s="62"/>
      <c r="J38" s="62"/>
      <c r="K38" s="62"/>
      <c r="L38" s="62"/>
      <c r="M38" s="62"/>
      <c r="N38" s="62"/>
      <c r="O38" s="62"/>
      <c r="P38" s="62"/>
      <c r="Q38" s="62"/>
      <c r="R38" s="62"/>
      <c r="S38" s="62"/>
      <c r="T38" s="62"/>
      <c r="U38" s="62"/>
      <c r="V38" s="62"/>
      <c r="W38" s="62"/>
      <c r="X38" s="62"/>
      <c r="Y38" s="62"/>
      <c r="Z38" s="62"/>
    </row>
    <row r="39" ht="18.75" customHeight="1">
      <c r="A39" s="62" t="s">
        <v>4249</v>
      </c>
      <c r="B39" s="62" t="s">
        <v>4250</v>
      </c>
      <c r="C39" s="62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R39" s="62"/>
      <c r="S39" s="62"/>
      <c r="T39" s="62"/>
      <c r="U39" s="62"/>
      <c r="V39" s="62"/>
      <c r="W39" s="62"/>
      <c r="X39" s="62"/>
      <c r="Y39" s="62"/>
      <c r="Z39" s="62"/>
    </row>
    <row r="40" ht="18.75" customHeight="1">
      <c r="A40" s="62" t="s">
        <v>4251</v>
      </c>
      <c r="B40" s="62" t="s">
        <v>4252</v>
      </c>
      <c r="C40" s="62" t="s">
        <v>4253</v>
      </c>
      <c r="E40" s="62"/>
      <c r="F40" s="62"/>
      <c r="G40" s="62"/>
      <c r="H40" s="62"/>
      <c r="I40" s="62"/>
      <c r="J40" s="62"/>
      <c r="K40" s="62"/>
      <c r="L40" s="62"/>
      <c r="M40" s="62"/>
      <c r="N40" s="62"/>
      <c r="O40" s="62"/>
      <c r="P40" s="62"/>
      <c r="Q40" s="62"/>
      <c r="R40" s="62"/>
      <c r="S40" s="62"/>
      <c r="T40" s="62"/>
      <c r="U40" s="62"/>
      <c r="V40" s="62"/>
      <c r="W40" s="62"/>
      <c r="X40" s="62"/>
      <c r="Y40" s="62"/>
      <c r="Z40" s="62"/>
    </row>
    <row r="41" ht="18.75" customHeight="1">
      <c r="A41" s="62" t="s">
        <v>4254</v>
      </c>
      <c r="B41" s="62" t="s">
        <v>4255</v>
      </c>
      <c r="C41" s="62" t="s">
        <v>4256</v>
      </c>
      <c r="E41" s="62"/>
      <c r="F41" s="62"/>
      <c r="G41" s="62"/>
      <c r="H41" s="62"/>
      <c r="I41" s="62"/>
      <c r="J41" s="62"/>
      <c r="K41" s="62"/>
      <c r="L41" s="62"/>
      <c r="M41" s="62"/>
      <c r="N41" s="62"/>
      <c r="O41" s="62"/>
      <c r="P41" s="62"/>
      <c r="Q41" s="62"/>
      <c r="R41" s="62"/>
      <c r="S41" s="62"/>
      <c r="T41" s="62"/>
      <c r="U41" s="62"/>
      <c r="V41" s="62"/>
      <c r="W41" s="62"/>
      <c r="X41" s="62"/>
      <c r="Y41" s="62"/>
      <c r="Z41" s="62"/>
    </row>
    <row r="42" ht="18.75" customHeight="1">
      <c r="A42" s="62" t="s">
        <v>4257</v>
      </c>
      <c r="B42" s="62" t="s">
        <v>4258</v>
      </c>
      <c r="C42" s="62"/>
      <c r="E42" s="62"/>
      <c r="F42" s="62"/>
      <c r="G42" s="62"/>
      <c r="H42" s="62"/>
      <c r="I42" s="62"/>
      <c r="J42" s="62"/>
      <c r="K42" s="62"/>
      <c r="L42" s="62"/>
      <c r="M42" s="62"/>
      <c r="N42" s="62"/>
      <c r="O42" s="62"/>
      <c r="P42" s="62"/>
      <c r="Q42" s="62"/>
      <c r="R42" s="62"/>
      <c r="S42" s="62"/>
      <c r="T42" s="62"/>
      <c r="U42" s="62"/>
      <c r="V42" s="62"/>
      <c r="W42" s="62"/>
      <c r="X42" s="62"/>
      <c r="Y42" s="62"/>
      <c r="Z42" s="62"/>
    </row>
    <row r="43" ht="18.75" customHeight="1">
      <c r="A43" s="62" t="s">
        <v>4259</v>
      </c>
      <c r="B43" s="62" t="s">
        <v>4260</v>
      </c>
      <c r="C43" s="62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S43" s="62"/>
      <c r="T43" s="62"/>
      <c r="U43" s="62"/>
      <c r="V43" s="62"/>
      <c r="W43" s="62"/>
      <c r="X43" s="62"/>
      <c r="Y43" s="62"/>
      <c r="Z43" s="62"/>
    </row>
    <row r="44" ht="18.75" customHeight="1">
      <c r="A44" s="62" t="s">
        <v>4261</v>
      </c>
      <c r="B44" s="62" t="s">
        <v>4262</v>
      </c>
      <c r="C44" s="62" t="s">
        <v>4263</v>
      </c>
      <c r="E44" s="62"/>
      <c r="F44" s="62"/>
      <c r="G44" s="62"/>
      <c r="H44" s="62"/>
      <c r="I44" s="62"/>
      <c r="J44" s="62"/>
      <c r="K44" s="62"/>
      <c r="L44" s="62"/>
      <c r="M44" s="62"/>
      <c r="N44" s="62"/>
      <c r="O44" s="62"/>
      <c r="P44" s="62"/>
      <c r="Q44" s="62"/>
      <c r="R44" s="62"/>
      <c r="S44" s="62"/>
      <c r="T44" s="62"/>
      <c r="U44" s="62"/>
      <c r="V44" s="62"/>
      <c r="W44" s="62"/>
      <c r="X44" s="62"/>
      <c r="Y44" s="62"/>
      <c r="Z44" s="62"/>
    </row>
    <row r="45" ht="18.75" customHeight="1">
      <c r="A45" s="62" t="s">
        <v>4264</v>
      </c>
      <c r="B45" s="62" t="s">
        <v>4265</v>
      </c>
      <c r="C45" s="62"/>
      <c r="E45" s="62"/>
      <c r="F45" s="62"/>
      <c r="G45" s="62"/>
      <c r="H45" s="62"/>
      <c r="I45" s="62"/>
      <c r="J45" s="62"/>
      <c r="K45" s="62"/>
      <c r="L45" s="62"/>
      <c r="M45" s="62"/>
      <c r="N45" s="62"/>
      <c r="O45" s="62"/>
      <c r="P45" s="62"/>
      <c r="Q45" s="62"/>
      <c r="R45" s="62"/>
      <c r="S45" s="62"/>
      <c r="T45" s="62"/>
      <c r="U45" s="62"/>
      <c r="V45" s="62"/>
      <c r="W45" s="62"/>
      <c r="X45" s="62"/>
      <c r="Y45" s="62"/>
      <c r="Z45" s="62"/>
    </row>
    <row r="46" ht="18.75" customHeight="1">
      <c r="A46" s="62" t="s">
        <v>3977</v>
      </c>
      <c r="B46" s="62" t="s">
        <v>4266</v>
      </c>
      <c r="C46" s="62" t="s">
        <v>4267</v>
      </c>
      <c r="E46" s="62"/>
      <c r="F46" s="62"/>
      <c r="G46" s="62"/>
      <c r="H46" s="62"/>
      <c r="I46" s="62"/>
      <c r="J46" s="62"/>
      <c r="K46" s="62"/>
      <c r="L46" s="62"/>
      <c r="M46" s="62"/>
      <c r="N46" s="62"/>
      <c r="O46" s="62"/>
      <c r="P46" s="62"/>
      <c r="Q46" s="62"/>
      <c r="R46" s="62"/>
      <c r="S46" s="62"/>
      <c r="T46" s="62"/>
      <c r="U46" s="62"/>
      <c r="V46" s="62"/>
      <c r="W46" s="62"/>
      <c r="X46" s="62"/>
      <c r="Y46" s="62"/>
      <c r="Z46" s="62"/>
    </row>
    <row r="47" ht="18.75" customHeight="1">
      <c r="A47" s="62" t="s">
        <v>4268</v>
      </c>
      <c r="B47" s="62" t="s">
        <v>4269</v>
      </c>
      <c r="C47" s="62" t="s">
        <v>4270</v>
      </c>
      <c r="E47" s="62"/>
      <c r="F47" s="62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/>
      <c r="S47" s="62"/>
      <c r="T47" s="62"/>
      <c r="U47" s="62"/>
      <c r="V47" s="62"/>
      <c r="W47" s="62"/>
      <c r="X47" s="62"/>
      <c r="Y47" s="62"/>
      <c r="Z47" s="62"/>
    </row>
    <row r="48" ht="18.75" customHeight="1">
      <c r="A48" s="62" t="s">
        <v>4271</v>
      </c>
      <c r="B48" s="62" t="s">
        <v>4272</v>
      </c>
      <c r="C48" s="62"/>
      <c r="E48" s="62"/>
      <c r="F48" s="62"/>
      <c r="G48" s="62"/>
      <c r="H48" s="62"/>
      <c r="I48" s="62"/>
      <c r="J48" s="62"/>
      <c r="K48" s="62"/>
      <c r="L48" s="62"/>
      <c r="M48" s="62"/>
      <c r="N48" s="62"/>
      <c r="O48" s="62"/>
      <c r="P48" s="62"/>
      <c r="Q48" s="62"/>
      <c r="R48" s="62"/>
      <c r="S48" s="62"/>
      <c r="T48" s="62"/>
      <c r="U48" s="62"/>
      <c r="V48" s="62"/>
      <c r="W48" s="62"/>
      <c r="X48" s="62"/>
      <c r="Y48" s="62"/>
      <c r="Z48" s="62"/>
    </row>
    <row r="49" ht="18.75" customHeight="1">
      <c r="A49" s="62" t="s">
        <v>4273</v>
      </c>
      <c r="B49" s="62" t="s">
        <v>4274</v>
      </c>
      <c r="C49" s="62" t="s">
        <v>4275</v>
      </c>
      <c r="E49" s="62"/>
      <c r="F49" s="62"/>
      <c r="G49" s="62"/>
      <c r="H49" s="62"/>
      <c r="I49" s="62"/>
      <c r="J49" s="62"/>
      <c r="K49" s="62"/>
      <c r="L49" s="62"/>
      <c r="M49" s="62"/>
      <c r="N49" s="62"/>
      <c r="O49" s="62"/>
      <c r="P49" s="62"/>
      <c r="Q49" s="62"/>
      <c r="R49" s="62"/>
      <c r="S49" s="62"/>
      <c r="T49" s="62"/>
      <c r="U49" s="62"/>
      <c r="V49" s="62"/>
      <c r="W49" s="62"/>
      <c r="X49" s="62"/>
      <c r="Y49" s="62"/>
      <c r="Z49" s="62"/>
    </row>
    <row r="50" ht="18.75" customHeight="1">
      <c r="A50" s="62" t="s">
        <v>4276</v>
      </c>
      <c r="B50" s="62" t="s">
        <v>4277</v>
      </c>
      <c r="C50" s="62" t="s">
        <v>4278</v>
      </c>
      <c r="E50" s="62"/>
      <c r="F50" s="62"/>
      <c r="G50" s="62"/>
      <c r="H50" s="62"/>
      <c r="I50" s="62"/>
      <c r="J50" s="62"/>
      <c r="K50" s="62"/>
      <c r="L50" s="62"/>
      <c r="M50" s="62"/>
      <c r="N50" s="62"/>
      <c r="O50" s="62"/>
      <c r="P50" s="62"/>
      <c r="Q50" s="62"/>
      <c r="R50" s="62"/>
      <c r="S50" s="62"/>
      <c r="T50" s="62"/>
      <c r="U50" s="62"/>
      <c r="V50" s="62"/>
      <c r="W50" s="62"/>
      <c r="X50" s="62"/>
      <c r="Y50" s="62"/>
      <c r="Z50" s="62"/>
    </row>
    <row r="51" ht="18.75" customHeight="1">
      <c r="A51" s="62" t="s">
        <v>4279</v>
      </c>
      <c r="B51" s="62" t="s">
        <v>4280</v>
      </c>
      <c r="C51" s="62"/>
      <c r="E51" s="62"/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S51" s="62"/>
      <c r="T51" s="62"/>
      <c r="U51" s="62"/>
      <c r="V51" s="62"/>
      <c r="W51" s="62"/>
      <c r="X51" s="62"/>
      <c r="Y51" s="62"/>
      <c r="Z51" s="62"/>
    </row>
    <row r="52" ht="18.75" customHeight="1">
      <c r="A52" s="62" t="s">
        <v>4281</v>
      </c>
      <c r="B52" s="62" t="s">
        <v>4282</v>
      </c>
      <c r="C52" s="62"/>
      <c r="E52" s="62"/>
      <c r="F52" s="62"/>
      <c r="G52" s="62"/>
      <c r="H52" s="62"/>
      <c r="I52" s="62"/>
      <c r="J52" s="62"/>
      <c r="K52" s="62"/>
      <c r="L52" s="62"/>
      <c r="M52" s="62"/>
      <c r="N52" s="62"/>
      <c r="O52" s="62"/>
      <c r="P52" s="62"/>
      <c r="Q52" s="62"/>
      <c r="R52" s="62"/>
      <c r="S52" s="62"/>
      <c r="T52" s="62"/>
      <c r="U52" s="62"/>
      <c r="V52" s="62"/>
      <c r="W52" s="62"/>
      <c r="X52" s="62"/>
      <c r="Y52" s="62"/>
      <c r="Z52" s="62"/>
    </row>
    <row r="53" ht="18.75" customHeight="1">
      <c r="A53" s="62" t="s">
        <v>4283</v>
      </c>
      <c r="B53" s="62" t="s">
        <v>4284</v>
      </c>
      <c r="C53" s="62"/>
      <c r="E53" s="62"/>
      <c r="F53" s="62"/>
      <c r="G53" s="62"/>
      <c r="H53" s="62"/>
      <c r="I53" s="62"/>
      <c r="J53" s="62"/>
      <c r="K53" s="62"/>
      <c r="L53" s="62"/>
      <c r="M53" s="62"/>
      <c r="N53" s="62"/>
      <c r="O53" s="62"/>
      <c r="P53" s="62"/>
      <c r="Q53" s="62"/>
      <c r="R53" s="62"/>
      <c r="S53" s="62"/>
      <c r="T53" s="62"/>
      <c r="U53" s="62"/>
      <c r="V53" s="62"/>
      <c r="W53" s="62"/>
      <c r="X53" s="62"/>
      <c r="Y53" s="62"/>
      <c r="Z53" s="62"/>
    </row>
    <row r="54" ht="18.75" customHeight="1">
      <c r="A54" s="62" t="s">
        <v>4285</v>
      </c>
      <c r="B54" s="62" t="s">
        <v>4286</v>
      </c>
      <c r="C54" s="62" t="s">
        <v>4287</v>
      </c>
      <c r="E54" s="62"/>
      <c r="F54" s="62"/>
      <c r="G54" s="62"/>
      <c r="H54" s="62"/>
      <c r="I54" s="62"/>
      <c r="J54" s="62"/>
      <c r="K54" s="62"/>
      <c r="L54" s="62"/>
      <c r="M54" s="62"/>
      <c r="N54" s="62"/>
      <c r="O54" s="62"/>
      <c r="P54" s="62"/>
      <c r="Q54" s="62"/>
      <c r="R54" s="62"/>
      <c r="S54" s="62"/>
      <c r="T54" s="62"/>
      <c r="U54" s="62"/>
      <c r="V54" s="62"/>
      <c r="W54" s="62"/>
      <c r="X54" s="62"/>
      <c r="Y54" s="62"/>
      <c r="Z54" s="62"/>
    </row>
    <row r="55" ht="18.75" customHeight="1">
      <c r="A55" s="62" t="s">
        <v>4288</v>
      </c>
      <c r="B55" s="62" t="s">
        <v>4289</v>
      </c>
      <c r="C55" s="62" t="s">
        <v>4290</v>
      </c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S55" s="62"/>
      <c r="T55" s="62"/>
      <c r="U55" s="62"/>
      <c r="V55" s="62"/>
      <c r="W55" s="62"/>
      <c r="X55" s="62"/>
      <c r="Y55" s="62"/>
      <c r="Z55" s="62"/>
    </row>
    <row r="56" ht="18.75" customHeight="1">
      <c r="A56" s="62" t="s">
        <v>4291</v>
      </c>
      <c r="B56" s="62" t="s">
        <v>4292</v>
      </c>
      <c r="C56" s="62" t="s">
        <v>4293</v>
      </c>
      <c r="E56" s="62"/>
      <c r="F56" s="62"/>
      <c r="G56" s="62"/>
      <c r="H56" s="62"/>
      <c r="I56" s="62"/>
      <c r="J56" s="62"/>
      <c r="K56" s="62"/>
      <c r="L56" s="62"/>
      <c r="M56" s="62"/>
      <c r="N56" s="62"/>
      <c r="O56" s="62"/>
      <c r="P56" s="62"/>
      <c r="Q56" s="62"/>
      <c r="R56" s="62"/>
      <c r="S56" s="62"/>
      <c r="T56" s="62"/>
      <c r="U56" s="62"/>
      <c r="V56" s="62"/>
      <c r="W56" s="62"/>
      <c r="X56" s="62"/>
      <c r="Y56" s="62"/>
      <c r="Z56" s="62"/>
    </row>
    <row r="57" ht="18.75" customHeight="1">
      <c r="A57" s="62" t="s">
        <v>4294</v>
      </c>
      <c r="B57" s="62" t="s">
        <v>4295</v>
      </c>
      <c r="C57" s="62" t="s">
        <v>4296</v>
      </c>
      <c r="E57" s="62"/>
      <c r="F57" s="62"/>
      <c r="G57" s="62"/>
      <c r="H57" s="62"/>
      <c r="I57" s="62"/>
      <c r="J57" s="62"/>
      <c r="K57" s="62"/>
      <c r="L57" s="62"/>
      <c r="M57" s="62"/>
      <c r="N57" s="62"/>
      <c r="O57" s="62"/>
      <c r="P57" s="62"/>
      <c r="Q57" s="62"/>
      <c r="R57" s="62"/>
      <c r="S57" s="62"/>
      <c r="T57" s="62"/>
      <c r="U57" s="62"/>
      <c r="V57" s="62"/>
      <c r="W57" s="62"/>
      <c r="X57" s="62"/>
      <c r="Y57" s="62"/>
      <c r="Z57" s="62"/>
    </row>
    <row r="58" ht="18.75" customHeight="1">
      <c r="A58" s="62"/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62"/>
      <c r="M58" s="62"/>
      <c r="N58" s="62"/>
      <c r="O58" s="62"/>
      <c r="P58" s="62"/>
      <c r="Q58" s="62"/>
      <c r="R58" s="62"/>
      <c r="S58" s="62"/>
      <c r="T58" s="62"/>
      <c r="U58" s="62"/>
      <c r="V58" s="62"/>
      <c r="W58" s="62"/>
      <c r="X58" s="62"/>
      <c r="Y58" s="62"/>
      <c r="Z58" s="62"/>
    </row>
    <row r="59" ht="18.75" customHeight="1">
      <c r="A59" s="62"/>
      <c r="B59" s="62"/>
      <c r="C59" s="62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  <c r="R59" s="62"/>
      <c r="S59" s="62"/>
      <c r="T59" s="62"/>
      <c r="U59" s="62"/>
      <c r="V59" s="62"/>
      <c r="W59" s="62"/>
      <c r="X59" s="62"/>
      <c r="Y59" s="62"/>
      <c r="Z59" s="62"/>
    </row>
    <row r="60" ht="18.75" customHeight="1">
      <c r="A60" s="62"/>
      <c r="B60" s="62"/>
      <c r="C60" s="62"/>
      <c r="D60" s="62"/>
      <c r="E60" s="62"/>
      <c r="F60" s="62"/>
      <c r="G60" s="62"/>
      <c r="H60" s="62"/>
      <c r="I60" s="62"/>
      <c r="J60" s="62"/>
      <c r="K60" s="62"/>
      <c r="L60" s="62"/>
      <c r="M60" s="62"/>
      <c r="N60" s="62"/>
      <c r="O60" s="62"/>
      <c r="P60" s="62"/>
      <c r="Q60" s="62"/>
      <c r="R60" s="62"/>
      <c r="S60" s="62"/>
      <c r="T60" s="62"/>
      <c r="U60" s="62"/>
      <c r="V60" s="62"/>
      <c r="W60" s="62"/>
      <c r="X60" s="62"/>
      <c r="Y60" s="62"/>
      <c r="Z60" s="62"/>
    </row>
    <row r="61" ht="18.75" customHeight="1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62"/>
      <c r="M61" s="62"/>
      <c r="N61" s="62"/>
      <c r="O61" s="62"/>
      <c r="P61" s="62"/>
      <c r="Q61" s="62"/>
      <c r="R61" s="62"/>
      <c r="S61" s="62"/>
      <c r="T61" s="62"/>
      <c r="U61" s="62"/>
      <c r="V61" s="62"/>
      <c r="W61" s="62"/>
      <c r="X61" s="62"/>
      <c r="Y61" s="62"/>
      <c r="Z61" s="62"/>
    </row>
    <row r="62" ht="18.75" customHeight="1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62"/>
      <c r="M62" s="62"/>
      <c r="N62" s="62"/>
      <c r="O62" s="62"/>
      <c r="P62" s="62"/>
      <c r="Q62" s="62"/>
      <c r="R62" s="62"/>
      <c r="S62" s="62"/>
      <c r="T62" s="62"/>
      <c r="U62" s="62"/>
      <c r="V62" s="62"/>
      <c r="W62" s="62"/>
      <c r="X62" s="62"/>
      <c r="Y62" s="62"/>
      <c r="Z62" s="62"/>
    </row>
    <row r="63" ht="18.75" customHeight="1">
      <c r="A63" s="62"/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S63" s="62"/>
      <c r="T63" s="62"/>
      <c r="U63" s="62"/>
      <c r="V63" s="62"/>
      <c r="W63" s="62"/>
      <c r="X63" s="62"/>
      <c r="Y63" s="62"/>
      <c r="Z63" s="62"/>
    </row>
    <row r="64" ht="18.75" customHeight="1">
      <c r="A64" s="62"/>
      <c r="B64" s="62"/>
      <c r="C64" s="62"/>
      <c r="D64" s="62"/>
      <c r="E64" s="62"/>
      <c r="F64" s="62"/>
      <c r="G64" s="62"/>
      <c r="H64" s="62"/>
      <c r="I64" s="62"/>
      <c r="J64" s="62"/>
      <c r="K64" s="62"/>
      <c r="L64" s="62"/>
      <c r="M64" s="62"/>
      <c r="N64" s="62"/>
      <c r="O64" s="62"/>
      <c r="P64" s="62"/>
      <c r="Q64" s="62"/>
      <c r="R64" s="62"/>
      <c r="S64" s="62"/>
      <c r="T64" s="62"/>
      <c r="U64" s="62"/>
      <c r="V64" s="62"/>
      <c r="W64" s="62"/>
      <c r="X64" s="62"/>
      <c r="Y64" s="62"/>
      <c r="Z64" s="62"/>
    </row>
    <row r="65" ht="18.75" customHeight="1">
      <c r="A65" s="62"/>
      <c r="B65" s="62"/>
      <c r="C65" s="62"/>
      <c r="D65" s="62"/>
      <c r="E65" s="62"/>
      <c r="F65" s="62"/>
      <c r="G65" s="62"/>
      <c r="H65" s="62"/>
      <c r="I65" s="62"/>
      <c r="J65" s="62"/>
      <c r="K65" s="62"/>
      <c r="L65" s="62"/>
      <c r="M65" s="62"/>
      <c r="N65" s="62"/>
      <c r="O65" s="62"/>
      <c r="P65" s="62"/>
      <c r="Q65" s="62"/>
      <c r="R65" s="62"/>
      <c r="S65" s="62"/>
      <c r="T65" s="62"/>
      <c r="U65" s="62"/>
      <c r="V65" s="62"/>
      <c r="W65" s="62"/>
      <c r="X65" s="62"/>
      <c r="Y65" s="62"/>
      <c r="Z65" s="62"/>
    </row>
    <row r="66" ht="18.75" customHeight="1">
      <c r="A66" s="62"/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62"/>
      <c r="M66" s="62"/>
      <c r="N66" s="62"/>
      <c r="O66" s="62"/>
      <c r="P66" s="62"/>
      <c r="Q66" s="62"/>
      <c r="R66" s="62"/>
      <c r="S66" s="62"/>
      <c r="T66" s="62"/>
      <c r="U66" s="62"/>
      <c r="V66" s="62"/>
      <c r="W66" s="62"/>
      <c r="X66" s="62"/>
      <c r="Y66" s="62"/>
      <c r="Z66" s="62"/>
    </row>
    <row r="67" ht="18.75" customHeight="1">
      <c r="A67" s="62"/>
      <c r="B67" s="62"/>
      <c r="C67" s="62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S67" s="62"/>
      <c r="T67" s="62"/>
      <c r="U67" s="62"/>
      <c r="V67" s="62"/>
      <c r="W67" s="62"/>
      <c r="X67" s="62"/>
      <c r="Y67" s="62"/>
      <c r="Z67" s="62"/>
    </row>
    <row r="68" ht="18.75" customHeight="1">
      <c r="A68" s="62"/>
      <c r="B68" s="62"/>
      <c r="C68" s="62"/>
      <c r="D68" s="62"/>
      <c r="E68" s="62"/>
      <c r="F68" s="62"/>
      <c r="G68" s="62"/>
      <c r="H68" s="62"/>
      <c r="I68" s="62"/>
      <c r="J68" s="62"/>
      <c r="K68" s="62"/>
      <c r="L68" s="62"/>
      <c r="M68" s="62"/>
      <c r="N68" s="62"/>
      <c r="O68" s="62"/>
      <c r="P68" s="62"/>
      <c r="Q68" s="62"/>
      <c r="R68" s="62"/>
      <c r="S68" s="62"/>
      <c r="T68" s="62"/>
      <c r="U68" s="62"/>
      <c r="V68" s="62"/>
      <c r="W68" s="62"/>
      <c r="X68" s="62"/>
      <c r="Y68" s="62"/>
      <c r="Z68" s="62"/>
    </row>
    <row r="69" ht="18.75" customHeight="1">
      <c r="A69" s="62"/>
      <c r="B69" s="62"/>
      <c r="C69" s="62"/>
      <c r="D69" s="62"/>
      <c r="E69" s="62"/>
      <c r="F69" s="62"/>
      <c r="G69" s="62"/>
      <c r="H69" s="62"/>
      <c r="I69" s="62"/>
      <c r="J69" s="62"/>
      <c r="K69" s="62"/>
      <c r="L69" s="62"/>
      <c r="M69" s="62"/>
      <c r="N69" s="62"/>
      <c r="O69" s="62"/>
      <c r="P69" s="62"/>
      <c r="Q69" s="62"/>
      <c r="R69" s="62"/>
      <c r="S69" s="62"/>
      <c r="T69" s="62"/>
      <c r="U69" s="62"/>
      <c r="V69" s="62"/>
      <c r="W69" s="62"/>
      <c r="X69" s="62"/>
      <c r="Y69" s="62"/>
      <c r="Z69" s="62"/>
    </row>
    <row r="70" ht="18.75" customHeight="1">
      <c r="A70" s="62"/>
      <c r="B70" s="62"/>
      <c r="C70" s="62"/>
      <c r="D70" s="62"/>
      <c r="E70" s="62"/>
      <c r="F70" s="62"/>
      <c r="G70" s="62"/>
      <c r="H70" s="62"/>
      <c r="I70" s="62"/>
      <c r="J70" s="62"/>
      <c r="K70" s="62"/>
      <c r="L70" s="62"/>
      <c r="M70" s="62"/>
      <c r="N70" s="62"/>
      <c r="O70" s="62"/>
      <c r="P70" s="62"/>
      <c r="Q70" s="62"/>
      <c r="R70" s="62"/>
      <c r="S70" s="62"/>
      <c r="T70" s="62"/>
      <c r="U70" s="62"/>
      <c r="V70" s="62"/>
      <c r="W70" s="62"/>
      <c r="X70" s="62"/>
      <c r="Y70" s="62"/>
      <c r="Z70" s="62"/>
    </row>
    <row r="71" ht="18.75" customHeight="1">
      <c r="A71" s="62"/>
      <c r="B71" s="62"/>
      <c r="C71" s="62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  <c r="R71" s="62"/>
      <c r="S71" s="62"/>
      <c r="T71" s="62"/>
      <c r="U71" s="62"/>
      <c r="V71" s="62"/>
      <c r="W71" s="62"/>
      <c r="X71" s="62"/>
      <c r="Y71" s="62"/>
      <c r="Z71" s="62"/>
    </row>
    <row r="72" ht="18.75" customHeight="1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62"/>
      <c r="M72" s="62"/>
      <c r="N72" s="62"/>
      <c r="O72" s="62"/>
      <c r="P72" s="62"/>
      <c r="Q72" s="62"/>
      <c r="R72" s="62"/>
      <c r="S72" s="62"/>
      <c r="T72" s="62"/>
      <c r="U72" s="62"/>
      <c r="V72" s="62"/>
      <c r="W72" s="62"/>
      <c r="X72" s="62"/>
      <c r="Y72" s="62"/>
      <c r="Z72" s="62"/>
    </row>
    <row r="73" ht="18.75" customHeight="1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62"/>
      <c r="M73" s="62"/>
      <c r="N73" s="62"/>
      <c r="O73" s="62"/>
      <c r="P73" s="62"/>
      <c r="Q73" s="62"/>
      <c r="R73" s="62"/>
      <c r="S73" s="62"/>
      <c r="T73" s="62"/>
      <c r="U73" s="62"/>
      <c r="V73" s="62"/>
      <c r="W73" s="62"/>
      <c r="X73" s="62"/>
      <c r="Y73" s="62"/>
      <c r="Z73" s="62"/>
    </row>
    <row r="74" ht="18.75" customHeight="1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62"/>
      <c r="M74" s="62"/>
      <c r="N74" s="62"/>
      <c r="O74" s="62"/>
      <c r="P74" s="62"/>
      <c r="Q74" s="62"/>
      <c r="R74" s="62"/>
      <c r="S74" s="62"/>
      <c r="T74" s="62"/>
      <c r="U74" s="62"/>
      <c r="V74" s="62"/>
      <c r="W74" s="62"/>
      <c r="X74" s="62"/>
      <c r="Y74" s="62"/>
      <c r="Z74" s="62"/>
    </row>
    <row r="75" ht="18.75" customHeight="1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S75" s="62"/>
      <c r="T75" s="62"/>
      <c r="U75" s="62"/>
      <c r="V75" s="62"/>
      <c r="W75" s="62"/>
      <c r="X75" s="62"/>
      <c r="Y75" s="62"/>
      <c r="Z75" s="62"/>
    </row>
    <row r="76" ht="18.75" customHeight="1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  <c r="R76" s="62"/>
      <c r="S76" s="62"/>
      <c r="T76" s="62"/>
      <c r="U76" s="62"/>
      <c r="V76" s="62"/>
      <c r="W76" s="62"/>
      <c r="X76" s="62"/>
      <c r="Y76" s="62"/>
      <c r="Z76" s="62"/>
    </row>
    <row r="77" ht="18.75" customHeight="1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  <c r="R77" s="62"/>
      <c r="S77" s="62"/>
      <c r="T77" s="62"/>
      <c r="U77" s="62"/>
      <c r="V77" s="62"/>
      <c r="W77" s="62"/>
      <c r="X77" s="62"/>
      <c r="Y77" s="62"/>
      <c r="Z77" s="62"/>
    </row>
    <row r="78" ht="18.75" customHeight="1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62"/>
      <c r="W78" s="62"/>
      <c r="X78" s="62"/>
      <c r="Y78" s="62"/>
      <c r="Z78" s="62"/>
    </row>
    <row r="79" ht="18.75" customHeight="1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62"/>
      <c r="W79" s="62"/>
      <c r="X79" s="62"/>
      <c r="Y79" s="62"/>
      <c r="Z79" s="62"/>
    </row>
    <row r="80" ht="18.75" customHeight="1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62"/>
      <c r="W80" s="62"/>
      <c r="X80" s="62"/>
      <c r="Y80" s="62"/>
      <c r="Z80" s="62"/>
    </row>
    <row r="81" ht="18.75" customHeight="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  <c r="R81" s="62"/>
      <c r="S81" s="62"/>
      <c r="T81" s="62"/>
      <c r="U81" s="62"/>
      <c r="V81" s="62"/>
      <c r="W81" s="62"/>
      <c r="X81" s="62"/>
      <c r="Y81" s="62"/>
      <c r="Z81" s="62"/>
    </row>
    <row r="82" ht="18.75" customHeight="1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  <c r="R82" s="62"/>
      <c r="S82" s="62"/>
      <c r="T82" s="62"/>
      <c r="U82" s="62"/>
      <c r="V82" s="62"/>
      <c r="W82" s="62"/>
      <c r="X82" s="62"/>
      <c r="Y82" s="62"/>
      <c r="Z82" s="62"/>
    </row>
    <row r="83" ht="18.75" customHeight="1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S83" s="62"/>
      <c r="T83" s="62"/>
      <c r="U83" s="62"/>
      <c r="V83" s="62"/>
      <c r="W83" s="62"/>
      <c r="X83" s="62"/>
      <c r="Y83" s="62"/>
      <c r="Z83" s="62"/>
    </row>
    <row r="84" ht="18.75" customHeight="1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  <c r="R84" s="62"/>
      <c r="S84" s="62"/>
      <c r="T84" s="62"/>
      <c r="U84" s="62"/>
      <c r="V84" s="62"/>
      <c r="W84" s="62"/>
      <c r="X84" s="62"/>
      <c r="Y84" s="62"/>
      <c r="Z84" s="62"/>
    </row>
    <row r="85" ht="18.75" customHeight="1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  <c r="R85" s="62"/>
      <c r="S85" s="62"/>
      <c r="T85" s="62"/>
      <c r="U85" s="62"/>
      <c r="V85" s="62"/>
      <c r="W85" s="62"/>
      <c r="X85" s="62"/>
      <c r="Y85" s="62"/>
      <c r="Z85" s="62"/>
    </row>
    <row r="86" ht="18.75" customHeight="1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  <c r="R86" s="62"/>
      <c r="S86" s="62"/>
      <c r="T86" s="62"/>
      <c r="U86" s="62"/>
      <c r="V86" s="62"/>
      <c r="W86" s="62"/>
      <c r="X86" s="62"/>
      <c r="Y86" s="62"/>
      <c r="Z86" s="62"/>
    </row>
    <row r="87" ht="18.75" customHeight="1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S87" s="62"/>
      <c r="T87" s="62"/>
      <c r="U87" s="62"/>
      <c r="V87" s="62"/>
      <c r="W87" s="62"/>
      <c r="X87" s="62"/>
      <c r="Y87" s="62"/>
      <c r="Z87" s="62"/>
    </row>
    <row r="88" ht="18.75" customHeight="1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62"/>
      <c r="M88" s="62"/>
      <c r="N88" s="62"/>
      <c r="O88" s="62"/>
      <c r="P88" s="62"/>
      <c r="Q88" s="62"/>
      <c r="R88" s="62"/>
      <c r="S88" s="62"/>
      <c r="T88" s="62"/>
      <c r="U88" s="62"/>
      <c r="V88" s="62"/>
      <c r="W88" s="62"/>
      <c r="X88" s="62"/>
      <c r="Y88" s="62"/>
      <c r="Z88" s="62"/>
    </row>
    <row r="89" ht="18.75" customHeight="1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62"/>
      <c r="M89" s="62"/>
      <c r="N89" s="62"/>
      <c r="O89" s="62"/>
      <c r="P89" s="62"/>
      <c r="Q89" s="62"/>
      <c r="R89" s="62"/>
      <c r="S89" s="62"/>
      <c r="T89" s="62"/>
      <c r="U89" s="62"/>
      <c r="V89" s="62"/>
      <c r="W89" s="62"/>
      <c r="X89" s="62"/>
      <c r="Y89" s="62"/>
      <c r="Z89" s="62"/>
    </row>
    <row r="90" ht="18.75" customHeight="1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62"/>
      <c r="M90" s="62"/>
      <c r="N90" s="62"/>
      <c r="O90" s="62"/>
      <c r="P90" s="62"/>
      <c r="Q90" s="62"/>
      <c r="R90" s="62"/>
      <c r="S90" s="62"/>
      <c r="T90" s="62"/>
      <c r="U90" s="62"/>
      <c r="V90" s="62"/>
      <c r="W90" s="62"/>
      <c r="X90" s="62"/>
      <c r="Y90" s="62"/>
      <c r="Z90" s="62"/>
    </row>
    <row r="91" ht="18.75" customHeight="1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S91" s="62"/>
      <c r="T91" s="62"/>
      <c r="U91" s="62"/>
      <c r="V91" s="62"/>
      <c r="W91" s="62"/>
      <c r="X91" s="62"/>
      <c r="Y91" s="62"/>
      <c r="Z91" s="62"/>
    </row>
    <row r="92" ht="18.75" customHeight="1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  <c r="R92" s="62"/>
      <c r="S92" s="62"/>
      <c r="T92" s="62"/>
      <c r="U92" s="62"/>
      <c r="V92" s="62"/>
      <c r="W92" s="62"/>
      <c r="X92" s="62"/>
      <c r="Y92" s="62"/>
      <c r="Z92" s="62"/>
    </row>
    <row r="93" ht="18.75" customHeight="1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62"/>
      <c r="M93" s="62"/>
      <c r="N93" s="62"/>
      <c r="O93" s="62"/>
      <c r="P93" s="62"/>
      <c r="Q93" s="62"/>
      <c r="R93" s="62"/>
      <c r="S93" s="62"/>
      <c r="T93" s="62"/>
      <c r="U93" s="62"/>
      <c r="V93" s="62"/>
      <c r="W93" s="62"/>
      <c r="X93" s="62"/>
      <c r="Y93" s="62"/>
      <c r="Z93" s="62"/>
    </row>
    <row r="94" ht="18.75" customHeight="1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62"/>
      <c r="M94" s="62"/>
      <c r="N94" s="62"/>
      <c r="O94" s="62"/>
      <c r="P94" s="62"/>
      <c r="Q94" s="62"/>
      <c r="R94" s="62"/>
      <c r="S94" s="62"/>
      <c r="T94" s="62"/>
      <c r="U94" s="62"/>
      <c r="V94" s="62"/>
      <c r="W94" s="62"/>
      <c r="X94" s="62"/>
      <c r="Y94" s="62"/>
      <c r="Z94" s="62"/>
    </row>
    <row r="95" ht="18.75" customHeight="1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  <c r="R95" s="62"/>
      <c r="S95" s="62"/>
      <c r="T95" s="62"/>
      <c r="U95" s="62"/>
      <c r="V95" s="62"/>
      <c r="W95" s="62"/>
      <c r="X95" s="62"/>
      <c r="Y95" s="62"/>
      <c r="Z95" s="62"/>
    </row>
    <row r="96" ht="18.75" customHeight="1">
      <c r="A96" s="62"/>
      <c r="B96" s="62"/>
      <c r="C96" s="62"/>
      <c r="D96" s="62"/>
      <c r="E96" s="62"/>
      <c r="F96" s="62"/>
      <c r="G96" s="62"/>
      <c r="H96" s="62"/>
      <c r="I96" s="62"/>
      <c r="J96" s="62"/>
      <c r="K96" s="62"/>
      <c r="L96" s="62"/>
      <c r="M96" s="62"/>
      <c r="N96" s="62"/>
      <c r="O96" s="62"/>
      <c r="P96" s="62"/>
      <c r="Q96" s="62"/>
      <c r="R96" s="62"/>
      <c r="S96" s="62"/>
      <c r="T96" s="62"/>
      <c r="U96" s="62"/>
      <c r="V96" s="62"/>
      <c r="W96" s="62"/>
      <c r="X96" s="62"/>
      <c r="Y96" s="62"/>
      <c r="Z96" s="62"/>
    </row>
    <row r="97" ht="18.75" customHeight="1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62"/>
      <c r="M97" s="62"/>
      <c r="N97" s="62"/>
      <c r="O97" s="62"/>
      <c r="P97" s="62"/>
      <c r="Q97" s="62"/>
      <c r="R97" s="62"/>
      <c r="S97" s="62"/>
      <c r="T97" s="62"/>
      <c r="U97" s="62"/>
      <c r="V97" s="62"/>
      <c r="W97" s="62"/>
      <c r="X97" s="62"/>
      <c r="Y97" s="62"/>
      <c r="Z97" s="62"/>
    </row>
    <row r="98" ht="18.75" customHeight="1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62"/>
      <c r="M98" s="62"/>
      <c r="N98" s="62"/>
      <c r="O98" s="62"/>
      <c r="P98" s="62"/>
      <c r="Q98" s="62"/>
      <c r="R98" s="62"/>
      <c r="S98" s="62"/>
      <c r="T98" s="62"/>
      <c r="U98" s="62"/>
      <c r="V98" s="62"/>
      <c r="W98" s="62"/>
      <c r="X98" s="62"/>
      <c r="Y98" s="62"/>
      <c r="Z98" s="62"/>
    </row>
    <row r="99" ht="18.75" customHeight="1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S99" s="62"/>
      <c r="T99" s="62"/>
      <c r="U99" s="62"/>
      <c r="V99" s="62"/>
      <c r="W99" s="62"/>
      <c r="X99" s="62"/>
      <c r="Y99" s="62"/>
      <c r="Z99" s="62"/>
    </row>
    <row r="100" ht="18.75" customHeight="1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62"/>
      <c r="M100" s="62"/>
      <c r="N100" s="62"/>
      <c r="O100" s="62"/>
      <c r="P100" s="62"/>
      <c r="Q100" s="62"/>
      <c r="R100" s="62"/>
      <c r="S100" s="62"/>
      <c r="T100" s="62"/>
      <c r="U100" s="62"/>
      <c r="V100" s="62"/>
      <c r="W100" s="62"/>
      <c r="X100" s="62"/>
      <c r="Y100" s="62"/>
      <c r="Z100" s="62"/>
    </row>
  </sheetData>
  <mergeCells count="46">
    <mergeCell ref="C53:D53"/>
    <mergeCell ref="C54:D54"/>
    <mergeCell ref="C55:D55"/>
    <mergeCell ref="C56:D56"/>
    <mergeCell ref="C57:D57"/>
    <mergeCell ref="C46:D46"/>
    <mergeCell ref="C47:D47"/>
    <mergeCell ref="C48:D48"/>
    <mergeCell ref="C49:D49"/>
    <mergeCell ref="C50:D50"/>
    <mergeCell ref="C51:D51"/>
    <mergeCell ref="C52:D52"/>
    <mergeCell ref="B1:D1"/>
    <mergeCell ref="B2:D2"/>
    <mergeCell ref="B3:D3"/>
    <mergeCell ref="A5:B5"/>
    <mergeCell ref="D5:E5"/>
    <mergeCell ref="A18:D18"/>
    <mergeCell ref="C19:D19"/>
    <mergeCell ref="C26:D26"/>
    <mergeCell ref="C27:D27"/>
    <mergeCell ref="C28:D28"/>
    <mergeCell ref="C29:D29"/>
    <mergeCell ref="C30:D30"/>
    <mergeCell ref="C31:D31"/>
    <mergeCell ref="C20:D20"/>
    <mergeCell ref="C21:D21"/>
    <mergeCell ref="C22:D22"/>
    <mergeCell ref="C23:D23"/>
    <mergeCell ref="C24:D24"/>
    <mergeCell ref="C25:D25"/>
    <mergeCell ref="B26:B32"/>
    <mergeCell ref="C32:D32"/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</mergeCells>
  <drawing r:id="rId1"/>
</worksheet>
</file>